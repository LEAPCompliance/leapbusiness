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5.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Settings" sheetId="2" state="visible" r:id="rId4"/>
    <sheet name="Single Calculator" sheetId="3" state="visible" r:id="rId5"/>
    <sheet name="Split vs Whole Month" sheetId="4" state="visible" r:id="rId6"/>
    <sheet name="Bulk Calculator" sheetId="5" state="visible" r:id="rId7"/>
    <sheet name="Notes &amp; Sources" sheetId="6" state="visible" r:id="rId8"/>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LEAP</author>
  </authors>
  <commentList>
    <comment ref="C4" authorId="0">
      <text>
        <r>
          <rPr>
            <sz val="10"/>
            <rFont val="Arial"/>
            <family val="2"/>
          </rPr>
          <t xml:space="preserve">Practice differs by client. Basic + DA only: mark Basic+DA as Y and the rest N. Basic + DA + allowances: also mark the allowances paid uniformly to all as Y. Gross minus HRA: set the PF wage rule on Settings to "Gross minus ticked heads" and mark HRA as Y.</t>
        </r>
      </text>
      <mc:AlternateContent>
        <mc:Choice Requires="v2">
          <commentPr autoFill="true" autoScale="false" colHidden="false" locked="false" rowHidden="false" textHAlign="justify" textVAlign="top">
            <anchor moveWithCells="false" sizeWithCells="false">
              <xdr:from>
                <xdr:col>0</xdr:col>
                <xdr:colOff>79</xdr:colOff>
                <xdr:row>0</xdr:row>
                <xdr:rowOff>8</xdr:rowOff>
              </xdr:from>
              <xdr:to>
                <xdr:col>1</xdr:col>
                <xdr:colOff>113</xdr:colOff>
                <xdr:row>3</xdr:row>
                <xdr:rowOff>5</xdr:rowOff>
              </xdr:to>
            </anchor>
          </commentPr>
        </mc:Choice>
        <mc:Fallback/>
      </mc:AlternateContent>
    </comment>
  </commentList>
</comments>
</file>

<file path=xl/sharedStrings.xml><?xml version="1.0" encoding="utf-8"?>
<sst xmlns="http://schemas.openxmlformats.org/spreadsheetml/2006/main" count="307" uniqueCount="227">
  <si>
    <t xml:space="preserve">EPF Wage Ceiling 2026 - Impact Calculator (Excel)</t>
  </si>
  <si>
    <t xml:space="preserve">LEAP Business Solutions. Live formulas: change an input and everything recalculates.</t>
  </si>
  <si>
    <t xml:space="preserve">Sheet</t>
  </si>
  <si>
    <t xml:space="preserve">What it is for</t>
  </si>
  <si>
    <t xml:space="preserve">Settings</t>
  </si>
  <si>
    <t xml:space="preserve">Start here. Pick the period, the September method, the PF wage basis and the PF wage rule. The rates and limits sit here too, each with its source.</t>
  </si>
  <si>
    <t xml:space="preserve">Single Calculator</t>
  </si>
  <si>
    <t xml:space="preserve">One employee. Shows every step from PF wage to each EPFO account, with a note on how each line is worked out.</t>
  </si>
  <si>
    <t xml:space="preserve">Split vs Whole Month</t>
  </si>
  <si>
    <t xml:space="preserve">Same employee under three September methods side by side, with the rupee difference. Use it to decide how to treat the changeover month.</t>
  </si>
  <si>
    <t xml:space="preserve">Bulk Calculator</t>
  </si>
  <si>
    <t xml:space="preserve">Up to 300 employees. Paste payroll heads from row 8, mark which heads count towards PF wage in row 4, and every employee is worked out by account. Totals sit in row 5.</t>
  </si>
  <si>
    <t xml:space="preserve">Notes &amp; Sources</t>
  </si>
  <si>
    <t xml:space="preserve">The Gazette reference, the rates, the rounding rules and what this workbook does not decide.</t>
  </si>
  <si>
    <t xml:space="preserve">Colour key</t>
  </si>
  <si>
    <t xml:space="preserve">Meaning</t>
  </si>
  <si>
    <t xml:space="preserve">Blue text on yellow</t>
  </si>
  <si>
    <t xml:space="preserve">An input. Type or paste here.</t>
  </si>
  <si>
    <t xml:space="preserve">Black text</t>
  </si>
  <si>
    <t xml:space="preserve">A formula. Do not type over it.</t>
  </si>
  <si>
    <t xml:space="preserve">Grey fill</t>
  </si>
  <si>
    <t xml:space="preserve">Working columns in the Bulk sheet, shown so you can follow the calculation.</t>
  </si>
  <si>
    <t xml:space="preserve">Quick start</t>
  </si>
  <si>
    <t xml:space="preserve">1. Open Settings and choose the period. For September 2026 also choose the September method.</t>
  </si>
  <si>
    <t xml:space="preserve">2. For one employee, go to Single Calculator, type the PF wage in B4, and read the results below.</t>
  </si>
  <si>
    <t xml:space="preserve">3. For a payroll file, go to Bulk Calculator. Replace the three sample rows (Sample Employee 1 to 3) with your own data.</t>
  </si>
  <si>
    <t xml:space="preserve">4. In Bulk row 4, mark which pay heads count as PF wage. Different clients follow different practice: Basic + DA only, Basic + DA + uniform allowances, or Gross minus HRA (set the rule on Settings).</t>
  </si>
  <si>
    <t xml:space="preserve">5. Read the Notes column in Bulk for any row that needs attention (not a member, zero PF wage, pay heads not adding up to gross, and so on).</t>
  </si>
  <si>
    <t xml:space="preserve">6. Before you rely on a figure, read Notes &amp; Sources. The September 2026 method is not settled by the documents reviewed.</t>
  </si>
  <si>
    <t xml:space="preserve">Indicative figures for planning. Not legal advice. Sources and limits are on the Notes &amp; Sources sheet.</t>
  </si>
  <si>
    <t xml:space="preserve">Version: 21 September 2026. Based on Gazette S.O. 5109(E) dated 17.09.2026. Formulas are locked without a password so they are not changed by accident: only the blue cells on yellow can be edited. To unlock, use Review &gt; Unprotect Sheet.</t>
  </si>
  <si>
    <t xml:space="preserve">Change the blue cells on yellow. Every other sheet reads from here.</t>
  </si>
  <si>
    <t xml:space="preserve">Your choices</t>
  </si>
  <si>
    <t xml:space="preserve">Value</t>
  </si>
  <si>
    <t xml:space="preserve">What it does</t>
  </si>
  <si>
    <t xml:space="preserve">Lists for the drop-downs (do not edit)</t>
  </si>
  <si>
    <t xml:space="preserve">Wage period</t>
  </si>
  <si>
    <t xml:space="preserve">September 2026 (changeover month)</t>
  </si>
  <si>
    <t xml:space="preserve">Which period the calculators work on. Only "September 2026" uses the September method below.</t>
  </si>
  <si>
    <t xml:space="preserve">Before 17 Sep 2026 (₹15,000 ceiling)</t>
  </si>
  <si>
    <t xml:space="preserve">Split by days (16 days at ₹15,000 + 14 days at ₹25,000)</t>
  </si>
  <si>
    <t xml:space="preserve">Ceiling-capped (standard)</t>
  </si>
  <si>
    <t xml:space="preserve">Sum of ticked heads</t>
  </si>
  <si>
    <t xml:space="preserve">Yes</t>
  </si>
  <si>
    <t xml:space="preserve">September method</t>
  </si>
  <si>
    <t xml:space="preserve">How the changeover month is treated. The Gazette does not say how to handle a mid-month change, so this is your call. See the "Notes &amp; Sources" sheet.</t>
  </si>
  <si>
    <t xml:space="preserve">Whole month at ₹25,000</t>
  </si>
  <si>
    <t xml:space="preserve">On actual wages (voluntary)</t>
  </si>
  <si>
    <t xml:space="preserve">Gross minus ticked heads</t>
  </si>
  <si>
    <t xml:space="preserve">No</t>
  </si>
  <si>
    <t xml:space="preserve">PF wage basis</t>
  </si>
  <si>
    <t xml:space="preserve">Ceiling-capped is the standard basis. "On actual wages" is a voluntary arrangement above the ceiling.</t>
  </si>
  <si>
    <t xml:space="preserve">October 2026 onwards (₹25,000 ceiling)</t>
  </si>
  <si>
    <t xml:space="preserve">Whole month at ₹15,000 (new ceiling from October)</t>
  </si>
  <si>
    <t xml:space="preserve">PF wage rule (Bulk sheet)</t>
  </si>
  <si>
    <t xml:space="preserve">Bulk sheet only. "Sum of ticked heads" adds the pay heads marked Y. "Gross minus ticked heads" starts from Gross and removes the heads marked Y.</t>
  </si>
  <si>
    <t xml:space="preserve">Include EDLI and admin charges</t>
  </si>
  <si>
    <t xml:space="preserve">Employer overheads of 0.5% each, on top of the 12%.</t>
  </si>
  <si>
    <t xml:space="preserve">Warn if PF wage is under 50% of gross (Bulk sheet)</t>
  </si>
  <si>
    <t xml:space="preserve">Only adds a note against the row. It never changes a figure.</t>
  </si>
  <si>
    <t xml:space="preserve">Rates and limits</t>
  </si>
  <si>
    <t xml:space="preserve">Source or note</t>
  </si>
  <si>
    <t xml:space="preserve">Earlier wage ceiling (₹ per month)</t>
  </si>
  <si>
    <t xml:space="preserve">Notification GSR 609(E) dated 22.08.2014. Applies up to 16 September 2026.</t>
  </si>
  <si>
    <t xml:space="preserve">New wage ceiling (₹ per month)</t>
  </si>
  <si>
    <t xml:space="preserve">Gazette S.O. 5109(E) dated 17.09.2026, effective from the date of publication, superseding S.O. 2702(E) dated 29.05.2026.</t>
  </si>
  <si>
    <t xml:space="preserve">Days in the month used for proration</t>
  </si>
  <si>
    <t xml:space="preserve">A 30-day month is used to spread each ceiling across the days worked. Assumption made for this model.</t>
  </si>
  <si>
    <t xml:space="preserve">Days from 1 to 16 September (old ceiling)</t>
  </si>
  <si>
    <t xml:space="preserve">The notification took effect on 17 September 2026, so 1 to 16 September is 16 days.</t>
  </si>
  <si>
    <t xml:space="preserve">Days from 17 to 30 September (new ceiling)</t>
  </si>
  <si>
    <t xml:space="preserve">17 to 30 September is 14 days.</t>
  </si>
  <si>
    <t xml:space="preserve">Employee contribution rate</t>
  </si>
  <si>
    <t xml:space="preserve">EPF rate: Section 6, EPF &amp; MP Act, 1952.</t>
  </si>
  <si>
    <t xml:space="preserve">Employer contribution rate (total)</t>
  </si>
  <si>
    <t xml:space="preserve">Employer matches at 12%. It is split between EPS and EPF below.</t>
  </si>
  <si>
    <t xml:space="preserve">Employer EPS rate (A/c 10)</t>
  </si>
  <si>
    <t xml:space="preserve">EPS 8.33%: Para 3, Employees’ Pension Scheme, 1995. The balance of the employer 12% (3.67%) goes to EPF A/c 1.</t>
  </si>
  <si>
    <t xml:space="preserve">EDLI rate (A/c 21)</t>
  </si>
  <si>
    <t xml:space="preserve">EDLI 0.5%: Para 8A, EDLI Scheme, 1976. Worked on wages capped at the ceiling.</t>
  </si>
  <si>
    <t xml:space="preserve">EPF admin charges rate (A/c 2)</t>
  </si>
  <si>
    <t xml:space="preserve">Straight 0.5% of PF wages. The ₹500 monthly minimum is an establishment-level floor and is taken as already met, so it is not applied per employee.</t>
  </si>
  <si>
    <t xml:space="preserve">Worked out from your choices (do not edit)</t>
  </si>
  <si>
    <t xml:space="preserve">Period number (1 before, 2 September, 3 October on)</t>
  </si>
  <si>
    <t xml:space="preserve">Position of your choice in its drop-down list.</t>
  </si>
  <si>
    <t xml:space="preserve">Method number (1 split, 2 whole at 25,000, 3 whole at 15,000)</t>
  </si>
  <si>
    <t xml:space="preserve">Ceiling-capped basis?</t>
  </si>
  <si>
    <t xml:space="preserve">Use two halves (days 1-16 and 17-30)?</t>
  </si>
  <si>
    <t xml:space="preserve">Ceiling for the first slab</t>
  </si>
  <si>
    <t xml:space="preserve">Before 17 Sep: 15,000. October on: 25,000. September: depends on the method.</t>
  </si>
  <si>
    <t xml:space="preserve">Ceiling for the second slab (used only when two halves apply)</t>
  </si>
  <si>
    <t xml:space="preserve">Employer overheads on?</t>
  </si>
  <si>
    <t xml:space="preserve">50% warning on?</t>
  </si>
  <si>
    <t xml:space="preserve">PF wage rule is "Gross minus ticked heads"?</t>
  </si>
  <si>
    <t xml:space="preserve">Single employee calculator</t>
  </si>
  <si>
    <t xml:space="preserve">Enter one employee below. The period, September method and basis come from the Settings sheet.</t>
  </si>
  <si>
    <t xml:space="preserve">Inputs</t>
  </si>
  <si>
    <t xml:space="preserve">Note</t>
  </si>
  <si>
    <t xml:space="preserve">Statutory PF wage per month (₹)</t>
  </si>
  <si>
    <t xml:space="preserve">Use PF wages, not gross pay. Gross is not the same as PF wages under Section 2(88) of the Code on Social Security.</t>
  </si>
  <si>
    <t xml:space="preserve">Days worked, 1 to 16 Sep</t>
  </si>
  <si>
    <t xml:space="preserve">Only used when Settings says September is split by days. Leave blank for the full 16 days.</t>
  </si>
  <si>
    <t xml:space="preserve">Days worked, 17 to 30 Sep</t>
  </si>
  <si>
    <t xml:space="preserve">Leave blank for the full 14 days.</t>
  </si>
  <si>
    <t xml:space="preserve">Pension (EPS) applicable?</t>
  </si>
  <si>
    <t xml:space="preserve">Choose No if the employee is not eligible for pension. The whole employer 12% then goes to EPF.</t>
  </si>
  <si>
    <t xml:space="preserve">Working with these settings:</t>
  </si>
  <si>
    <t xml:space="preserve">Working</t>
  </si>
  <si>
    <t xml:space="preserve">Result</t>
  </si>
  <si>
    <t xml:space="preserve">How it is worked out</t>
  </si>
  <si>
    <t xml:space="preserve">Ceiling for 1 to 16 September slab</t>
  </si>
  <si>
    <t xml:space="preserve">Old ceiling before 17 Sep, new ceiling from October. For September it depends on the method chosen.</t>
  </si>
  <si>
    <t xml:space="preserve">Share of month, first slab</t>
  </si>
  <si>
    <t xml:space="preserve">Days in the first slab ÷ 30. Shows 1 when no split applies.</t>
  </si>
  <si>
    <t xml:space="preserve">Ceiling for 17 to 30 September slab</t>
  </si>
  <si>
    <t xml:space="preserve">Only used when the month is split by days.</t>
  </si>
  <si>
    <t xml:space="preserve">Share of month, second slab</t>
  </si>
  <si>
    <t xml:space="preserve">Days in the second slab ÷ 30. Zero when no split applies.</t>
  </si>
  <si>
    <t xml:space="preserve">PF wage, first slab</t>
  </si>
  <si>
    <t xml:space="preserve">Lower of wage and ceiling (or full wage on the actual basis) × share of month, rounded to whole rupees.</t>
  </si>
  <si>
    <t xml:space="preserve">PF wage, second slab</t>
  </si>
  <si>
    <t xml:space="preserve">Same working for the second slab.</t>
  </si>
  <si>
    <t xml:space="preserve">Combined PF wage</t>
  </si>
  <si>
    <t xml:space="preserve">First slab + second slab. All contributions below are worked on this figure.</t>
  </si>
  <si>
    <t xml:space="preserve">Wage capped at the ceiling</t>
  </si>
  <si>
    <t xml:space="preserve">Used for EDLI. Always ceiling-capped, even when PF is on actual wages.</t>
  </si>
  <si>
    <t xml:space="preserve">Pension wage</t>
  </si>
  <si>
    <t xml:space="preserve">The wage EPS is worked on. Ceiling-capped. Zero if pension is marked No.</t>
  </si>
  <si>
    <t xml:space="preserve">Employee A/c 1 (12%)</t>
  </si>
  <si>
    <t xml:space="preserve">12% of the combined PF wage, rounded.</t>
  </si>
  <si>
    <t xml:space="preserve">Employer share (12%)</t>
  </si>
  <si>
    <t xml:space="preserve">Same amount as the employee share. Split into EPS and EPF below.</t>
  </si>
  <si>
    <t xml:space="preserve">Employer A/c 10, EPS (8.33%)</t>
  </si>
  <si>
    <t xml:space="preserve">8.33% of the pension wage, rounded, and never more than the employer 12%.</t>
  </si>
  <si>
    <t xml:space="preserve">Employer A/c 1, EPF (3.67% balance)</t>
  </si>
  <si>
    <t xml:space="preserve">Employer 12% minus EPS.</t>
  </si>
  <si>
    <t xml:space="preserve">Employer A/c 2, admin (0.5%)</t>
  </si>
  <si>
    <t xml:space="preserve">0.5% of the combined PF wage. No ₹500 minimum applied per employee.</t>
  </si>
  <si>
    <t xml:space="preserve">Employer A/c 21, EDLI (0.5%)</t>
  </si>
  <si>
    <t xml:space="preserve">0.5% of the wage capped at the ceiling.</t>
  </si>
  <si>
    <t xml:space="preserve">Total monthly outflow</t>
  </si>
  <si>
    <t xml:space="preserve">Employee 12% + employer 12% + admin + EDLI (overheads only if switched on).</t>
  </si>
  <si>
    <t xml:space="preserve">Reading the result</t>
  </si>
  <si>
    <t xml:space="preserve">Amounts are in rupees, rounded per line. Outflow is what the employer and employee together pay each month. The employee share is deducted from salary; the employer share and overheads are a cost to the company.</t>
  </si>
  <si>
    <t xml:space="preserve">September method comparison</t>
  </si>
  <si>
    <t xml:space="preserve">Same employee, three ways of treating September 2026. Basis and overhead choices come from Settings.</t>
  </si>
  <si>
    <t xml:space="preserve">Same rules as the single calculator.</t>
  </si>
  <si>
    <t xml:space="preserve">Days matter only for the split method. Blank means the full 16 days.</t>
  </si>
  <si>
    <t xml:space="preserve">Blank means the full 14 days.</t>
  </si>
  <si>
    <t xml:space="preserve">Split by days</t>
  </si>
  <si>
    <t xml:space="preserve">Whole month at ₹15,000</t>
  </si>
  <si>
    <t xml:space="preserve">Difference against the split method</t>
  </si>
  <si>
    <t xml:space="preserve">Employee deduction, difference</t>
  </si>
  <si>
    <t xml:space="preserve">A positive figure means that method costs the employee more than splitting by days.</t>
  </si>
  <si>
    <t xml:space="preserve">Total outflow, difference</t>
  </si>
  <si>
    <t xml:space="preserve">A positive figure means that method costs more in total than splitting by days.</t>
  </si>
  <si>
    <t xml:space="preserve">None of these three methods is confirmed by the Gazette notification, the EPFO press release or the PIB release reviewed for this model. Check EPFO’s operational guidance before you file for September 2026.</t>
  </si>
  <si>
    <t xml:space="preserve">Bulk PF calculator</t>
  </si>
  <si>
    <t xml:space="preserve">Paste or type up to 300 employees from row 8. Row 4 tells the sheet which pay heads count towards PF wage. The period and method come from Settings.</t>
  </si>
  <si>
    <t xml:space="preserve">Y</t>
  </si>
  <si>
    <t xml:space="preserve">N</t>
  </si>
  <si>
    <t xml:space="preserve">TOTAL (all rows)</t>
  </si>
  <si>
    <t xml:space="preserve">YOUR DATA (blue)</t>
  </si>
  <si>
    <t xml:space="preserve">WORKING (calculated, do not type here)</t>
  </si>
  <si>
    <t xml:space="preserve">CONTRIBUTION BY ACCOUNT (calculated)</t>
  </si>
  <si>
    <t xml:space="preserve">Emp Code</t>
  </si>
  <si>
    <t xml:space="preserve">Name</t>
  </si>
  <si>
    <t xml:space="preserve">Basic+DA</t>
  </si>
  <si>
    <t xml:space="preserve">HRA</t>
  </si>
  <si>
    <t xml:space="preserve">Bonus</t>
  </si>
  <si>
    <t xml:space="preserve">Medical Allowance</t>
  </si>
  <si>
    <t xml:space="preserve">Special Allowance</t>
  </si>
  <si>
    <t xml:space="preserve">Gross Salary</t>
  </si>
  <si>
    <t xml:space="preserve">Days 1-16 Sep (max 16)</t>
  </si>
  <si>
    <t xml:space="preserve">Days 17-30 Sep (max 14)</t>
  </si>
  <si>
    <t xml:space="preserve">PF Member (Y/N)</t>
  </si>
  <si>
    <t xml:space="preserve">Pension (Y/N)</t>
  </si>
  <si>
    <t xml:space="preserve">PF wage as per rule</t>
  </si>
  <si>
    <t xml:space="preserve">Wage capped at ceiling</t>
  </si>
  <si>
    <t xml:space="preserve">Employer A/c 1 (3.67%)</t>
  </si>
  <si>
    <t xml:space="preserve">Total</t>
  </si>
  <si>
    <t xml:space="preserve">Notes</t>
  </si>
  <si>
    <t xml:space="preserve">E001</t>
  </si>
  <si>
    <t xml:space="preserve">Sample Employee 1</t>
  </si>
  <si>
    <t xml:space="preserve">E002</t>
  </si>
  <si>
    <t xml:space="preserve">Sample Employee 2</t>
  </si>
  <si>
    <t xml:space="preserve">E003</t>
  </si>
  <si>
    <t xml:space="preserve">Sample Employee 3</t>
  </si>
  <si>
    <t xml:space="preserve">Notes and sources</t>
  </si>
  <si>
    <t xml:space="preserve">Read this before relying on any figure in the workbook.</t>
  </si>
  <si>
    <t xml:space="preserve">THE CEILING</t>
  </si>
  <si>
    <t xml:space="preserve">Ceiling from 17 Sep 2026</t>
  </si>
  <si>
    <t xml:space="preserve">The Central Government has notified ₹25,000 per month as the wage ceiling for Chapter III of the Code on Social Security, 2020, with effect from the date of publication. Source: Gazette of India Extraordinary, Part II Section 3(ii), S.O. 5109(E), Ministry of Labour and Employment, 17 September 2026 (clause (89) of section 2). It supersedes S.O. 2702(E) dated 29 May 2026.</t>
  </si>
  <si>
    <t xml:space="preserve">Earlier ceiling</t>
  </si>
  <si>
    <t xml:space="preserve">₹15,000 per month, Notification GSR 609(E) dated 22.08.2014. Used for all periods before 17 September 2026.</t>
  </si>
  <si>
    <t xml:space="preserve">Other documents reviewed</t>
  </si>
  <si>
    <t xml:space="preserve">EPFO press release dated 17.09.2026 (Regional Office Thane South, Ghatkopar) and PIB release ID 2310812 dated 16 September 2026. These describe benefits and the PMVBRY incentive; they do not set out how to treat the changeover month.</t>
  </si>
  <si>
    <t xml:space="preserve">THE SEPTEMBER 2026 QUESTION</t>
  </si>
  <si>
    <t xml:space="preserve">Why September is different</t>
  </si>
  <si>
    <t xml:space="preserve">The new ceiling took effect on 17 September, part-way through the month. That leaves 16 days before the change and 14 days after.</t>
  </si>
  <si>
    <t xml:space="preserve">Each ceiling is spread across a 30-day month and multiplied by the days in that half, then the two halves are added. It follows the effective date exactly. It is a straight-line method chosen for this model.</t>
  </si>
  <si>
    <t xml:space="preserve">Simpler. Contributions are reported month by month with one wage figure per member, so some payroll teams prefer a single ceiling for the whole month. The cost is charging the higher ceiling for 16 days that fell before the effective date, which raises the employee deduction.</t>
  </si>
  <si>
    <t xml:space="preserve">Treats the new ceiling as starting from October, the first full month. The reverse trade-off: it undercharges for the last 14 days of September if the change applies from 17 September.</t>
  </si>
  <si>
    <t xml:space="preserve">What to do</t>
  </si>
  <si>
    <t xml:space="preserve">None of the three is confirmed by the documents reviewed. Check EPFO’s operational guidance or ask EPFO before you file for September 2026. Use the Split vs Whole Month sheet to see the rupee difference.</t>
  </si>
  <si>
    <t xml:space="preserve">HOW THE NUMBERS ARE WORKED OUT</t>
  </si>
  <si>
    <t xml:space="preserve">PF wage</t>
  </si>
  <si>
    <t xml:space="preserve">Contributions are worked on statutory PF wages, not gross salary. The Code defines wages in Section 2(88): basic pay, dearness allowance and retaining allowance, with listed components excluded, subject to a 50% rule. In the Bulk sheet you choose which heads count.</t>
  </si>
  <si>
    <t xml:space="preserve">Rates</t>
  </si>
  <si>
    <t xml:space="preserve">Employee 12% of PF wage. Employer 12%, split as EPS 8.33% (A/c 10, on wages capped at the ceiling) and the 3.67% balance to EPF (A/c 1). EPF admin charges 0.5% (A/c 2). EDLI 0.5% (A/c 21) on wages capped at the ceiling. Sources: Section 6 EPF &amp; MP Act, 1952; Para 3 EPS, 1995; Para 8A EDLI Scheme, 1976; as used in the LEAP EPF calculator.</t>
  </si>
  <si>
    <t xml:space="preserve">Rounding</t>
  </si>
  <si>
    <t xml:space="preserve">Each line is rounded to whole rupees. In the Bulk sheet each employee is rounded on their own and the totals add those rows, as in a contribution return.</t>
  </si>
  <si>
    <t xml:space="preserve">Admin charges</t>
  </si>
  <si>
    <t xml:space="preserve">Shown as a straight 0.5% of the PF wage. The ₹500 monthly minimum applies to the establishment’s total, not to each employee, and is taken as already met.</t>
  </si>
  <si>
    <t xml:space="preserve">Pension</t>
  </si>
  <si>
    <t xml:space="preserve">Pension applicability is your input (Y/N). Higher pension on actual wages and international-worker rules are not modelled here.</t>
  </si>
  <si>
    <t xml:space="preserve">WHAT THIS WORKBOOK DOES NOT DECIDE</t>
  </si>
  <si>
    <t xml:space="preserve">Enrolment</t>
  </si>
  <si>
    <t xml:space="preserve">Whether a person must be enrolled, and the excluded-employee position, depends on membership history and the EPF Scheme, 2026. The workbook calculates for every row you give it. Use the PF Member column to leave people out.</t>
  </si>
  <si>
    <t xml:space="preserve">Arrears</t>
  </si>
  <si>
    <t xml:space="preserve">Do not start recoveries or back-dated deductions on the strength of these figures. Transitional handling depends on EPFO’s instructions.</t>
  </si>
  <si>
    <t xml:space="preserve">50% warning</t>
  </si>
  <si>
    <t xml:space="preserve">The optional warning only flags rows where PF wage is under half of gross. It is not a legal finding: it assumes all the heads left out are listed exclusions under Section 2(88).</t>
  </si>
  <si>
    <t xml:space="preserve">Indicative only</t>
  </si>
  <si>
    <t xml:space="preserve">Figures are for planning. Check them against the latest notification and EPFO circulars, and contact LEAP for a review of your own payroll.</t>
  </si>
  <si>
    <t xml:space="preserve">Prepared by</t>
  </si>
  <si>
    <t xml:space="preserve">LEAP Business Solutions, Mumbai. www.leapbusiness.in/calculators/epf-wage-ceiling/</t>
  </si>
</sst>
</file>

<file path=xl/styles.xml><?xml version="1.0" encoding="utf-8"?>
<styleSheet xmlns="http://schemas.openxmlformats.org/spreadsheetml/2006/main">
  <numFmts count="6">
    <numFmt numFmtId="164" formatCode="General"/>
    <numFmt numFmtId="165" formatCode="\₹#,##0;&quot;-₹&quot;#,##0;\-"/>
    <numFmt numFmtId="166" formatCode="0"/>
    <numFmt numFmtId="167" formatCode="0.00%"/>
    <numFmt numFmtId="168" formatCode="0.0000"/>
    <numFmt numFmtId="169" formatCode="&quot;+₹&quot;#,##0;&quot;-₹&quot;#,##0;\-"/>
  </numFmts>
  <fonts count="12">
    <font>
      <sz val="11"/>
      <color theme="1"/>
      <name val="Calibri"/>
      <family val="2"/>
      <charset val="1"/>
    </font>
    <font>
      <sz val="10"/>
      <name val="Arial"/>
      <family val="0"/>
    </font>
    <font>
      <sz val="10"/>
      <name val="Arial"/>
      <family val="0"/>
    </font>
    <font>
      <sz val="10"/>
      <name val="Arial"/>
      <family val="0"/>
    </font>
    <font>
      <b val="true"/>
      <sz val="16"/>
      <color rgb="FF1A4F78"/>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sz val="9"/>
      <color rgb="FF555555"/>
      <name val="Arial"/>
      <family val="0"/>
      <charset val="1"/>
    </font>
    <font>
      <sz val="10"/>
      <name val="Arial"/>
      <family val="2"/>
    </font>
  </fonts>
  <fills count="7">
    <fill>
      <patternFill patternType="none"/>
    </fill>
    <fill>
      <patternFill patternType="gray125"/>
    </fill>
    <fill>
      <patternFill patternType="solid">
        <fgColor rgb="FF1A4F78"/>
        <bgColor rgb="FF333399"/>
      </patternFill>
    </fill>
    <fill>
      <patternFill patternType="solid">
        <fgColor rgb="FFFFF9C4"/>
        <bgColor rgb="FFFFFF99"/>
      </patternFill>
    </fill>
    <fill>
      <patternFill patternType="solid">
        <fgColor rgb="FFF2F2F2"/>
        <bgColor rgb="FFEAF2F8"/>
      </patternFill>
    </fill>
    <fill>
      <patternFill patternType="solid">
        <fgColor rgb="FFEAF2F8"/>
        <bgColor rgb="FFF2F2F2"/>
      </patternFill>
    </fill>
    <fill>
      <patternFill patternType="solid">
        <fgColor rgb="FF5B7C99"/>
        <bgColor rgb="FF80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true">
      <alignment horizontal="general" vertical="bottom" textRotation="0" wrapText="false" indent="0" shrinkToFit="false"/>
      <protection locked="fals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9" fillId="3" borderId="1" xfId="0" applyFont="true" applyBorder="true" applyAlignment="false" applyProtection="true">
      <alignment horizontal="general" vertical="bottom" textRotation="0" wrapText="false" indent="0" shrinkToFit="false"/>
      <protection locked="false" hidden="false"/>
    </xf>
    <xf numFmtId="166" fontId="9" fillId="3" borderId="1" xfId="0" applyFont="true" applyBorder="true" applyAlignment="false" applyProtection="true">
      <alignment horizontal="general" vertical="bottom" textRotation="0" wrapText="false" indent="0" shrinkToFit="false"/>
      <protection locked="false" hidden="false"/>
    </xf>
    <xf numFmtId="167" fontId="9" fillId="3" borderId="1" xfId="0" applyFont="true" applyBorder="true" applyAlignment="false" applyProtection="true">
      <alignment horizontal="general" vertical="bottom" textRotation="0" wrapText="false" indent="0" shrinkToFit="false"/>
      <protection locked="fals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C4"/>
      <rgbColor rgb="FFEAF2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B7C99"/>
      <rgbColor rgb="FF969696"/>
      <rgbColor rgb="FF1A4F78"/>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31.5" hidden="false" customHeight="true" outlineLevel="0" collapsed="false">
      <c r="A5" s="4" t="s">
        <v>4</v>
      </c>
      <c r="B5" s="5" t="s">
        <v>5</v>
      </c>
    </row>
    <row r="6" customFormat="false" ht="31.5" hidden="false" customHeight="true" outlineLevel="0" collapsed="false">
      <c r="A6" s="4" t="s">
        <v>6</v>
      </c>
      <c r="B6" s="5" t="s">
        <v>7</v>
      </c>
    </row>
    <row r="7" customFormat="false" ht="31.5" hidden="false" customHeight="true" outlineLevel="0" collapsed="false">
      <c r="A7" s="4" t="s">
        <v>8</v>
      </c>
      <c r="B7" s="5" t="s">
        <v>9</v>
      </c>
    </row>
    <row r="8" customFormat="false" ht="31.5" hidden="false" customHeight="true" outlineLevel="0" collapsed="false">
      <c r="A8" s="4" t="s">
        <v>10</v>
      </c>
      <c r="B8" s="5" t="s">
        <v>11</v>
      </c>
    </row>
    <row r="9" customFormat="false" ht="31.5" hidden="false" customHeight="true" outlineLevel="0" collapsed="false">
      <c r="A9" s="4" t="s">
        <v>12</v>
      </c>
      <c r="B9" s="5" t="s">
        <v>13</v>
      </c>
    </row>
    <row r="11" customFormat="false" ht="15" hidden="false" customHeight="false" outlineLevel="0" collapsed="false">
      <c r="A11" s="3" t="s">
        <v>14</v>
      </c>
      <c r="B11" s="3" t="s">
        <v>15</v>
      </c>
    </row>
    <row r="12" customFormat="false" ht="15" hidden="false" customHeight="false" outlineLevel="0" collapsed="false">
      <c r="A12" s="6" t="s">
        <v>16</v>
      </c>
      <c r="B12" s="7" t="s">
        <v>17</v>
      </c>
    </row>
    <row r="13" customFormat="false" ht="15" hidden="false" customHeight="false" outlineLevel="0" collapsed="false">
      <c r="A13" s="7" t="s">
        <v>18</v>
      </c>
      <c r="B13" s="7" t="s">
        <v>19</v>
      </c>
    </row>
    <row r="14" customFormat="false" ht="15" hidden="false" customHeight="false" outlineLevel="0" collapsed="false">
      <c r="A14" s="8" t="s">
        <v>20</v>
      </c>
      <c r="B14" s="7" t="s">
        <v>21</v>
      </c>
    </row>
    <row r="16" customFormat="false" ht="15" hidden="false" customHeight="true" outlineLevel="0" collapsed="false">
      <c r="A16" s="3" t="s">
        <v>22</v>
      </c>
      <c r="B16" s="3"/>
    </row>
    <row r="17" customFormat="false" ht="31.5" hidden="false" customHeight="true" outlineLevel="0" collapsed="false">
      <c r="A17" s="9" t="s">
        <v>23</v>
      </c>
      <c r="B17" s="9"/>
    </row>
    <row r="18" customFormat="false" ht="31.5" hidden="false" customHeight="true" outlineLevel="0" collapsed="false">
      <c r="A18" s="9" t="s">
        <v>24</v>
      </c>
      <c r="B18" s="9"/>
    </row>
    <row r="19" customFormat="false" ht="31.5" hidden="false" customHeight="true" outlineLevel="0" collapsed="false">
      <c r="A19" s="9" t="s">
        <v>25</v>
      </c>
      <c r="B19" s="9"/>
    </row>
    <row r="20" customFormat="false" ht="31.5" hidden="false" customHeight="true" outlineLevel="0" collapsed="false">
      <c r="A20" s="9" t="s">
        <v>26</v>
      </c>
      <c r="B20" s="9"/>
    </row>
    <row r="21" customFormat="false" ht="31.5" hidden="false" customHeight="true" outlineLevel="0" collapsed="false">
      <c r="A21" s="9" t="s">
        <v>27</v>
      </c>
      <c r="B21" s="9"/>
    </row>
    <row r="22" customFormat="false" ht="31.5" hidden="false" customHeight="true" outlineLevel="0" collapsed="false">
      <c r="A22" s="9" t="s">
        <v>28</v>
      </c>
      <c r="B22" s="9"/>
    </row>
    <row r="24" customFormat="false" ht="15" hidden="false" customHeight="false" outlineLevel="0" collapsed="false">
      <c r="A24" s="10" t="s">
        <v>29</v>
      </c>
    </row>
    <row r="25" customFormat="false" ht="30" hidden="false" customHeight="true" outlineLevel="0" collapsed="false">
      <c r="A25" s="11" t="s">
        <v>30</v>
      </c>
      <c r="B25" s="11"/>
    </row>
  </sheetData>
  <sheetProtection sheet="true" formatCells="false" formatColumns="false" formatRows="false"/>
  <mergeCells count="8">
    <mergeCell ref="A16:B16"/>
    <mergeCell ref="A17:B17"/>
    <mergeCell ref="A18:B18"/>
    <mergeCell ref="A19:B19"/>
    <mergeCell ref="A20:B20"/>
    <mergeCell ref="A21:B21"/>
    <mergeCell ref="A22:B22"/>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52"/>
    <col collapsed="false" customWidth="true" hidden="false" outlineLevel="0" max="2" min="2" style="0" width="46"/>
    <col collapsed="false" customWidth="true" hidden="false" outlineLevel="0" max="3" min="3" style="0" width="80"/>
    <col collapsed="false" customWidth="true" hidden="false" outlineLevel="0" max="10" min="6" style="0" width="34"/>
  </cols>
  <sheetData>
    <row r="1" customFormat="false" ht="19.7" hidden="false" customHeight="false" outlineLevel="0" collapsed="false">
      <c r="A1" s="1" t="s">
        <v>4</v>
      </c>
    </row>
    <row r="2" customFormat="false" ht="15" hidden="false" customHeight="false" outlineLevel="0" collapsed="false">
      <c r="A2" s="2" t="s">
        <v>31</v>
      </c>
    </row>
    <row r="4" customFormat="false" ht="15" hidden="false" customHeight="false" outlineLevel="0" collapsed="false">
      <c r="A4" s="3" t="s">
        <v>32</v>
      </c>
      <c r="B4" s="3" t="s">
        <v>33</v>
      </c>
      <c r="C4" s="3" t="s">
        <v>34</v>
      </c>
      <c r="F4" s="12" t="s">
        <v>35</v>
      </c>
    </row>
    <row r="5" customFormat="false" ht="42" hidden="false" customHeight="true" outlineLevel="0" collapsed="false">
      <c r="A5" s="13" t="s">
        <v>36</v>
      </c>
      <c r="B5" s="14" t="s">
        <v>37</v>
      </c>
      <c r="C5" s="15" t="s">
        <v>38</v>
      </c>
      <c r="F5" s="10" t="s">
        <v>39</v>
      </c>
      <c r="G5" s="10" t="s">
        <v>40</v>
      </c>
      <c r="H5" s="10" t="s">
        <v>41</v>
      </c>
      <c r="I5" s="10" t="s">
        <v>42</v>
      </c>
      <c r="J5" s="10" t="s">
        <v>43</v>
      </c>
    </row>
    <row r="6" customFormat="false" ht="42" hidden="false" customHeight="true" outlineLevel="0" collapsed="false">
      <c r="A6" s="13" t="s">
        <v>44</v>
      </c>
      <c r="B6" s="14" t="s">
        <v>40</v>
      </c>
      <c r="C6" s="15" t="s">
        <v>45</v>
      </c>
      <c r="F6" s="10" t="s">
        <v>37</v>
      </c>
      <c r="G6" s="10" t="s">
        <v>46</v>
      </c>
      <c r="H6" s="10" t="s">
        <v>47</v>
      </c>
      <c r="I6" s="10" t="s">
        <v>48</v>
      </c>
      <c r="J6" s="10" t="s">
        <v>49</v>
      </c>
    </row>
    <row r="7" customFormat="false" ht="42" hidden="false" customHeight="true" outlineLevel="0" collapsed="false">
      <c r="A7" s="13" t="s">
        <v>50</v>
      </c>
      <c r="B7" s="14" t="s">
        <v>41</v>
      </c>
      <c r="C7" s="15" t="s">
        <v>51</v>
      </c>
      <c r="F7" s="10" t="s">
        <v>52</v>
      </c>
      <c r="G7" s="10" t="s">
        <v>53</v>
      </c>
    </row>
    <row r="8" customFormat="false" ht="42" hidden="false" customHeight="true" outlineLevel="0" collapsed="false">
      <c r="A8" s="13" t="s">
        <v>54</v>
      </c>
      <c r="B8" s="14" t="s">
        <v>42</v>
      </c>
      <c r="C8" s="15" t="s">
        <v>55</v>
      </c>
    </row>
    <row r="9" customFormat="false" ht="42" hidden="false" customHeight="true" outlineLevel="0" collapsed="false">
      <c r="A9" s="13" t="s">
        <v>56</v>
      </c>
      <c r="B9" s="14" t="s">
        <v>43</v>
      </c>
      <c r="C9" s="15" t="s">
        <v>57</v>
      </c>
    </row>
    <row r="10" customFormat="false" ht="42" hidden="false" customHeight="true" outlineLevel="0" collapsed="false">
      <c r="A10" s="13" t="s">
        <v>58</v>
      </c>
      <c r="B10" s="14" t="s">
        <v>49</v>
      </c>
      <c r="C10" s="15" t="s">
        <v>59</v>
      </c>
    </row>
    <row r="12" customFormat="false" ht="15" hidden="false" customHeight="false" outlineLevel="0" collapsed="false">
      <c r="A12" s="3" t="s">
        <v>60</v>
      </c>
      <c r="B12" s="3" t="s">
        <v>33</v>
      </c>
      <c r="C12" s="3" t="s">
        <v>61</v>
      </c>
    </row>
    <row r="13" customFormat="false" ht="30" hidden="false" customHeight="true" outlineLevel="0" collapsed="false">
      <c r="A13" s="16" t="s">
        <v>62</v>
      </c>
      <c r="B13" s="17" t="n">
        <v>15000</v>
      </c>
      <c r="C13" s="15" t="s">
        <v>63</v>
      </c>
    </row>
    <row r="14" customFormat="false" ht="30" hidden="false" customHeight="true" outlineLevel="0" collapsed="false">
      <c r="A14" s="16" t="s">
        <v>64</v>
      </c>
      <c r="B14" s="17" t="n">
        <v>25000</v>
      </c>
      <c r="C14" s="15" t="s">
        <v>65</v>
      </c>
    </row>
    <row r="15" customFormat="false" ht="30" hidden="false" customHeight="true" outlineLevel="0" collapsed="false">
      <c r="A15" s="16" t="s">
        <v>66</v>
      </c>
      <c r="B15" s="18" t="n">
        <v>30</v>
      </c>
      <c r="C15" s="15" t="s">
        <v>67</v>
      </c>
    </row>
    <row r="16" customFormat="false" ht="30" hidden="false" customHeight="true" outlineLevel="0" collapsed="false">
      <c r="A16" s="16" t="s">
        <v>68</v>
      </c>
      <c r="B16" s="18" t="n">
        <v>16</v>
      </c>
      <c r="C16" s="15" t="s">
        <v>69</v>
      </c>
    </row>
    <row r="17" customFormat="false" ht="30" hidden="false" customHeight="true" outlineLevel="0" collapsed="false">
      <c r="A17" s="16" t="s">
        <v>70</v>
      </c>
      <c r="B17" s="18" t="n">
        <v>14</v>
      </c>
      <c r="C17" s="15" t="s">
        <v>71</v>
      </c>
    </row>
    <row r="18" customFormat="false" ht="30" hidden="false" customHeight="true" outlineLevel="0" collapsed="false">
      <c r="A18" s="16" t="s">
        <v>72</v>
      </c>
      <c r="B18" s="19" t="n">
        <v>0.12</v>
      </c>
      <c r="C18" s="15" t="s">
        <v>73</v>
      </c>
    </row>
    <row r="19" customFormat="false" ht="30" hidden="false" customHeight="true" outlineLevel="0" collapsed="false">
      <c r="A19" s="16" t="s">
        <v>74</v>
      </c>
      <c r="B19" s="19" t="n">
        <v>0.12</v>
      </c>
      <c r="C19" s="15" t="s">
        <v>75</v>
      </c>
    </row>
    <row r="20" customFormat="false" ht="30" hidden="false" customHeight="true" outlineLevel="0" collapsed="false">
      <c r="A20" s="16" t="s">
        <v>76</v>
      </c>
      <c r="B20" s="19" t="n">
        <v>0.0833</v>
      </c>
      <c r="C20" s="15" t="s">
        <v>77</v>
      </c>
    </row>
    <row r="21" customFormat="false" ht="30" hidden="false" customHeight="true" outlineLevel="0" collapsed="false">
      <c r="A21" s="16" t="s">
        <v>78</v>
      </c>
      <c r="B21" s="19" t="n">
        <v>0.005</v>
      </c>
      <c r="C21" s="15" t="s">
        <v>79</v>
      </c>
    </row>
    <row r="22" customFormat="false" ht="30" hidden="false" customHeight="true" outlineLevel="0" collapsed="false">
      <c r="A22" s="16" t="s">
        <v>80</v>
      </c>
      <c r="B22" s="19" t="n">
        <v>0.005</v>
      </c>
      <c r="C22" s="15" t="s">
        <v>81</v>
      </c>
    </row>
    <row r="24" customFormat="false" ht="15" hidden="false" customHeight="false" outlineLevel="0" collapsed="false">
      <c r="A24" s="3" t="s">
        <v>82</v>
      </c>
      <c r="B24" s="3" t="s">
        <v>33</v>
      </c>
      <c r="C24" s="3" t="s">
        <v>15</v>
      </c>
    </row>
    <row r="25" customFormat="false" ht="30" hidden="false" customHeight="true" outlineLevel="0" collapsed="false">
      <c r="A25" s="16" t="s">
        <v>83</v>
      </c>
      <c r="B25" s="20" t="n">
        <f aca="false">MATCH(B5,F5:F7,0)</f>
        <v>2</v>
      </c>
      <c r="C25" s="10" t="s">
        <v>84</v>
      </c>
    </row>
    <row r="26" customFormat="false" ht="30" hidden="false" customHeight="true" outlineLevel="0" collapsed="false">
      <c r="A26" s="16" t="s">
        <v>85</v>
      </c>
      <c r="B26" s="20" t="n">
        <f aca="false">MATCH(B6,G5:G7,0)</f>
        <v>1</v>
      </c>
    </row>
    <row r="27" customFormat="false" ht="15" hidden="false" customHeight="false" outlineLevel="0" collapsed="false">
      <c r="A27" s="21" t="s">
        <v>86</v>
      </c>
      <c r="B27" s="22" t="b">
        <f aca="false">(MATCH(B7,H5:H6,0)=1)</f>
        <v>1</v>
      </c>
    </row>
    <row r="28" customFormat="false" ht="15" hidden="false" customHeight="false" outlineLevel="0" collapsed="false">
      <c r="A28" s="21" t="s">
        <v>87</v>
      </c>
      <c r="B28" s="22" t="b">
        <f aca="false">AND(B25=2,B26=1)</f>
        <v>1</v>
      </c>
    </row>
    <row r="29" customFormat="false" ht="15" hidden="false" customHeight="false" outlineLevel="0" collapsed="false">
      <c r="A29" s="21" t="s">
        <v>88</v>
      </c>
      <c r="B29" s="23" t="n">
        <f aca="false">IF(B25=1,B13,IF(B25=3,B14,IF(B26=2,B14,B13)))</f>
        <v>15000</v>
      </c>
      <c r="C29" s="15" t="s">
        <v>89</v>
      </c>
    </row>
    <row r="30" customFormat="false" ht="30" hidden="false" customHeight="true" outlineLevel="0" collapsed="false">
      <c r="A30" s="16" t="s">
        <v>90</v>
      </c>
      <c r="B30" s="23" t="n">
        <f aca="false">B14</f>
        <v>25000</v>
      </c>
    </row>
    <row r="31" customFormat="false" ht="15" hidden="false" customHeight="false" outlineLevel="0" collapsed="false">
      <c r="A31" s="21" t="s">
        <v>91</v>
      </c>
      <c r="B31" s="22" t="b">
        <f aca="false">(B9="Yes")</f>
        <v>1</v>
      </c>
    </row>
    <row r="32" customFormat="false" ht="15" hidden="false" customHeight="false" outlineLevel="0" collapsed="false">
      <c r="A32" s="21" t="s">
        <v>92</v>
      </c>
      <c r="B32" s="22" t="b">
        <f aca="false">(B10="Yes")</f>
        <v>0</v>
      </c>
    </row>
    <row r="33" customFormat="false" ht="15" hidden="false" customHeight="false" outlineLevel="0" collapsed="false">
      <c r="A33" s="21" t="s">
        <v>93</v>
      </c>
      <c r="B33" s="22" t="b">
        <f aca="false">(MATCH(B8,I5:I6,0)=2)</f>
        <v>0</v>
      </c>
    </row>
  </sheetData>
  <sheetProtection sheet="true" formatCells="false" formatColumns="false" formatRows="false"/>
  <dataValidations count="6">
    <dataValidation allowBlank="false" errorStyle="stop" operator="between" showDropDown="false" showErrorMessage="false" showInputMessage="false" sqref="B5" type="list">
      <formula1>$F$5:$F$7</formula1>
      <formula2>0</formula2>
    </dataValidation>
    <dataValidation allowBlank="false" errorStyle="stop" operator="between" showDropDown="false" showErrorMessage="false" showInputMessage="false" sqref="B6" type="list">
      <formula1>$G$5:$G$7</formula1>
      <formula2>0</formula2>
    </dataValidation>
    <dataValidation allowBlank="false" errorStyle="stop" operator="between" showDropDown="false" showErrorMessage="false" showInputMessage="false" sqref="B7" type="list">
      <formula1>$H$5:$H$6</formula1>
      <formula2>0</formula2>
    </dataValidation>
    <dataValidation allowBlank="false" errorStyle="stop" operator="between" showDropDown="false" showErrorMessage="false" showInputMessage="false" sqref="B8" type="list">
      <formula1>$I$5:$I$6</formula1>
      <formula2>0</formula2>
    </dataValidation>
    <dataValidation allowBlank="false" errorStyle="stop" operator="between" showDropDown="false" showErrorMessage="false" showInputMessage="false" sqref="B9" type="list">
      <formula1>$J$5:$J$6</formula1>
      <formula2>0</formula2>
    </dataValidation>
    <dataValidation allowBlank="false" errorStyle="stop" operator="between" showDropDown="false" showErrorMessage="false" showInputMessage="false" sqref="B10" type="list">
      <formula1>$J$5:$J$6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3" min="3" style="0" width="95"/>
  </cols>
  <sheetData>
    <row r="1" customFormat="false" ht="19.7" hidden="false" customHeight="false" outlineLevel="0" collapsed="false">
      <c r="A1" s="1" t="s">
        <v>94</v>
      </c>
    </row>
    <row r="2" customFormat="false" ht="15" hidden="false" customHeight="false" outlineLevel="0" collapsed="false">
      <c r="A2" s="2" t="s">
        <v>95</v>
      </c>
    </row>
    <row r="3" customFormat="false" ht="15" hidden="false" customHeight="false" outlineLevel="0" collapsed="false">
      <c r="A3" s="3" t="s">
        <v>96</v>
      </c>
      <c r="B3" s="3" t="s">
        <v>33</v>
      </c>
      <c r="C3" s="3" t="s">
        <v>97</v>
      </c>
    </row>
    <row r="4" customFormat="false" ht="27.75" hidden="false" customHeight="true" outlineLevel="0" collapsed="false">
      <c r="A4" s="24" t="s">
        <v>98</v>
      </c>
      <c r="B4" s="17" t="n">
        <v>30000</v>
      </c>
      <c r="C4" s="15" t="s">
        <v>99</v>
      </c>
    </row>
    <row r="5" customFormat="false" ht="27.75" hidden="false" customHeight="true" outlineLevel="0" collapsed="false">
      <c r="A5" s="24" t="s">
        <v>100</v>
      </c>
      <c r="B5" s="18" t="n">
        <v>16</v>
      </c>
      <c r="C5" s="15" t="s">
        <v>101</v>
      </c>
    </row>
    <row r="6" customFormat="false" ht="27.75" hidden="false" customHeight="true" outlineLevel="0" collapsed="false">
      <c r="A6" s="24" t="s">
        <v>102</v>
      </c>
      <c r="B6" s="18" t="n">
        <v>14</v>
      </c>
      <c r="C6" s="15" t="s">
        <v>103</v>
      </c>
    </row>
    <row r="7" customFormat="false" ht="27.75" hidden="false" customHeight="true" outlineLevel="0" collapsed="false">
      <c r="A7" s="24" t="s">
        <v>104</v>
      </c>
      <c r="B7" s="14" t="s">
        <v>43</v>
      </c>
      <c r="C7" s="15" t="s">
        <v>105</v>
      </c>
    </row>
    <row r="9" customFormat="false" ht="15" hidden="false" customHeight="false" outlineLevel="0" collapsed="false">
      <c r="A9" s="12" t="s">
        <v>106</v>
      </c>
      <c r="B9" s="21" t="str">
        <f aca="false">Settings!B5&amp;" | "&amp;IF(Settings!B25=2,Settings!B6&amp;" | ","")&amp;Settings!B7</f>
        <v>September 2026 (changeover month) | Split by days (16 days at ₹15,000 + 14 days at ₹25,000) | Ceiling-capped (standard)</v>
      </c>
    </row>
    <row r="11" customFormat="false" ht="15" hidden="false" customHeight="false" outlineLevel="0" collapsed="false">
      <c r="A11" s="3" t="s">
        <v>107</v>
      </c>
      <c r="B11" s="3" t="s">
        <v>108</v>
      </c>
      <c r="C11" s="3" t="s">
        <v>109</v>
      </c>
    </row>
    <row r="12" customFormat="false" ht="15" hidden="false" customHeight="false" outlineLevel="0" collapsed="false">
      <c r="A12" s="7" t="s">
        <v>110</v>
      </c>
      <c r="B12" s="25" t="n">
        <f aca="false">Settings!$B$29</f>
        <v>15000</v>
      </c>
      <c r="C12" s="15" t="s">
        <v>111</v>
      </c>
    </row>
    <row r="13" customFormat="false" ht="15" hidden="false" customHeight="false" outlineLevel="0" collapsed="false">
      <c r="A13" s="7" t="s">
        <v>112</v>
      </c>
      <c r="B13" s="26" t="n">
        <f aca="false">IF(Settings!$B$28,MAX(0,MIN(Settings!$B$16,IF($B$5="",Settings!$B$16,$B$5)))/Settings!$B$15,1)</f>
        <v>0.533333333333333</v>
      </c>
      <c r="C13" s="15" t="s">
        <v>113</v>
      </c>
    </row>
    <row r="14" customFormat="false" ht="15" hidden="false" customHeight="false" outlineLevel="0" collapsed="false">
      <c r="A14" s="7" t="s">
        <v>114</v>
      </c>
      <c r="B14" s="25" t="n">
        <f aca="false">Settings!$B$30</f>
        <v>25000</v>
      </c>
      <c r="C14" s="15" t="s">
        <v>115</v>
      </c>
    </row>
    <row r="15" customFormat="false" ht="15" hidden="false" customHeight="false" outlineLevel="0" collapsed="false">
      <c r="A15" s="7" t="s">
        <v>116</v>
      </c>
      <c r="B15" s="26" t="n">
        <f aca="false">IF(Settings!$B$28,MAX(0,MIN(Settings!$B$17,IF($B$6="",Settings!$B$17,$B$6)))/Settings!$B$15,0)</f>
        <v>0.466666666666667</v>
      </c>
      <c r="C15" s="15" t="s">
        <v>117</v>
      </c>
    </row>
    <row r="16" customFormat="false" ht="15" hidden="false" customHeight="false" outlineLevel="0" collapsed="false">
      <c r="A16" s="7" t="s">
        <v>118</v>
      </c>
      <c r="B16" s="25" t="n">
        <f aca="false">ROUND(IF(Settings!$B$27,MIN($B$4,B12),$B$4)*B13,0)</f>
        <v>8000</v>
      </c>
      <c r="C16" s="15" t="s">
        <v>119</v>
      </c>
    </row>
    <row r="17" customFormat="false" ht="15" hidden="false" customHeight="false" outlineLevel="0" collapsed="false">
      <c r="A17" s="7" t="s">
        <v>120</v>
      </c>
      <c r="B17" s="25" t="n">
        <f aca="false">ROUND(IF(Settings!$B$27,MIN($B$4,B14),$B$4)*B15,0)</f>
        <v>11667</v>
      </c>
      <c r="C17" s="15" t="s">
        <v>121</v>
      </c>
    </row>
    <row r="18" customFormat="false" ht="15" hidden="false" customHeight="false" outlineLevel="0" collapsed="false">
      <c r="A18" s="27" t="s">
        <v>122</v>
      </c>
      <c r="B18" s="28" t="n">
        <f aca="false">B16+B17</f>
        <v>19667</v>
      </c>
      <c r="C18" s="15" t="s">
        <v>123</v>
      </c>
    </row>
    <row r="19" customFormat="false" ht="15" hidden="false" customHeight="false" outlineLevel="0" collapsed="false">
      <c r="A19" s="7" t="s">
        <v>124</v>
      </c>
      <c r="B19" s="25" t="n">
        <f aca="false">ROUND(MIN($B$4,B12)*B13,0)+ROUND(MIN($B$4,B14)*B15,0)</f>
        <v>19667</v>
      </c>
      <c r="C19" s="15" t="s">
        <v>125</v>
      </c>
    </row>
    <row r="20" customFormat="false" ht="15" hidden="false" customHeight="false" outlineLevel="0" collapsed="false">
      <c r="A20" s="7" t="s">
        <v>126</v>
      </c>
      <c r="B20" s="25" t="n">
        <f aca="false">IF($B$7="No",0,B19)</f>
        <v>19667</v>
      </c>
      <c r="C20" s="15" t="s">
        <v>127</v>
      </c>
    </row>
    <row r="21" customFormat="false" ht="15" hidden="false" customHeight="false" outlineLevel="0" collapsed="false">
      <c r="A21" s="7" t="s">
        <v>128</v>
      </c>
      <c r="B21" s="25" t="n">
        <f aca="false">ROUND(B18*Settings!$B$18,0)</f>
        <v>2360</v>
      </c>
      <c r="C21" s="15" t="s">
        <v>129</v>
      </c>
    </row>
    <row r="22" customFormat="false" ht="15" hidden="false" customHeight="false" outlineLevel="0" collapsed="false">
      <c r="A22" s="7" t="s">
        <v>130</v>
      </c>
      <c r="B22" s="25" t="n">
        <f aca="false">ROUND(B18*Settings!$B$19,0)</f>
        <v>2360</v>
      </c>
      <c r="C22" s="15" t="s">
        <v>131</v>
      </c>
    </row>
    <row r="23" customFormat="false" ht="15" hidden="false" customHeight="false" outlineLevel="0" collapsed="false">
      <c r="A23" s="7" t="s">
        <v>132</v>
      </c>
      <c r="B23" s="25" t="n">
        <f aca="false">MIN(ROUND(B20*Settings!$B$20,0),B22)</f>
        <v>1638</v>
      </c>
      <c r="C23" s="15" t="s">
        <v>133</v>
      </c>
    </row>
    <row r="24" customFormat="false" ht="15" hidden="false" customHeight="false" outlineLevel="0" collapsed="false">
      <c r="A24" s="7" t="s">
        <v>134</v>
      </c>
      <c r="B24" s="25" t="n">
        <f aca="false">B22-B23</f>
        <v>722</v>
      </c>
      <c r="C24" s="15" t="s">
        <v>135</v>
      </c>
    </row>
    <row r="25" customFormat="false" ht="15" hidden="false" customHeight="false" outlineLevel="0" collapsed="false">
      <c r="A25" s="7" t="s">
        <v>136</v>
      </c>
      <c r="B25" s="25" t="n">
        <f aca="false">IF(Settings!$B$31,ROUND(B18*Settings!$B$22,0),0)</f>
        <v>98</v>
      </c>
      <c r="C25" s="15" t="s">
        <v>137</v>
      </c>
    </row>
    <row r="26" customFormat="false" ht="15" hidden="false" customHeight="false" outlineLevel="0" collapsed="false">
      <c r="A26" s="7" t="s">
        <v>138</v>
      </c>
      <c r="B26" s="25" t="n">
        <f aca="false">IF(Settings!$B$31,ROUND(B19*Settings!$B$21,0),0)</f>
        <v>98</v>
      </c>
      <c r="C26" s="15" t="s">
        <v>139</v>
      </c>
    </row>
    <row r="27" customFormat="false" ht="15" hidden="false" customHeight="false" outlineLevel="0" collapsed="false">
      <c r="A27" s="27" t="s">
        <v>140</v>
      </c>
      <c r="B27" s="28" t="n">
        <f aca="false">B21+B22+B25+B26</f>
        <v>4916</v>
      </c>
      <c r="C27" s="15" t="s">
        <v>141</v>
      </c>
    </row>
    <row r="29" customFormat="false" ht="15" hidden="false" customHeight="false" outlineLevel="0" collapsed="false">
      <c r="A29" s="12" t="s">
        <v>142</v>
      </c>
    </row>
    <row r="30" customFormat="false" ht="42" hidden="false" customHeight="true" outlineLevel="0" collapsed="false">
      <c r="A30" s="11" t="s">
        <v>143</v>
      </c>
      <c r="B30" s="11"/>
      <c r="C30" s="11"/>
    </row>
  </sheetData>
  <sheetProtection sheet="true" formatCells="false" formatColumns="false" formatRows="false"/>
  <mergeCells count="1">
    <mergeCell ref="A30:C30"/>
  </mergeCells>
  <dataValidations count="1">
    <dataValidation allowBlank="false" errorStyle="stop" operator="between" showDropDown="false" showErrorMessage="false" showInputMessage="false" sqref="B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40"/>
    <col collapsed="false" customWidth="true" hidden="false" outlineLevel="0" max="4" min="2" style="0" width="26"/>
    <col collapsed="false" customWidth="true" hidden="false" outlineLevel="0" max="5" min="5" style="0" width="90"/>
  </cols>
  <sheetData>
    <row r="1" customFormat="false" ht="19.7" hidden="false" customHeight="false" outlineLevel="0" collapsed="false">
      <c r="A1" s="1" t="s">
        <v>144</v>
      </c>
    </row>
    <row r="2" customFormat="false" ht="15" hidden="false" customHeight="false" outlineLevel="0" collapsed="false">
      <c r="A2" s="2" t="s">
        <v>145</v>
      </c>
    </row>
    <row r="3" customFormat="false" ht="15" hidden="false" customHeight="false" outlineLevel="0" collapsed="false">
      <c r="A3" s="3" t="s">
        <v>96</v>
      </c>
      <c r="B3" s="3" t="s">
        <v>33</v>
      </c>
      <c r="C3" s="3" t="s">
        <v>97</v>
      </c>
    </row>
    <row r="4" customFormat="false" ht="15" hidden="false" customHeight="false" outlineLevel="0" collapsed="false">
      <c r="A4" s="24" t="s">
        <v>98</v>
      </c>
      <c r="B4" s="17" t="n">
        <v>30000</v>
      </c>
      <c r="C4" s="10" t="s">
        <v>146</v>
      </c>
    </row>
    <row r="5" customFormat="false" ht="15" hidden="false" customHeight="false" outlineLevel="0" collapsed="false">
      <c r="A5" s="24" t="s">
        <v>100</v>
      </c>
      <c r="B5" s="18" t="n">
        <v>16</v>
      </c>
      <c r="C5" s="10" t="s">
        <v>147</v>
      </c>
    </row>
    <row r="6" customFormat="false" ht="15" hidden="false" customHeight="false" outlineLevel="0" collapsed="false">
      <c r="A6" s="24" t="s">
        <v>102</v>
      </c>
      <c r="B6" s="18" t="n">
        <v>14</v>
      </c>
      <c r="C6" s="10" t="s">
        <v>148</v>
      </c>
    </row>
    <row r="7" customFormat="false" ht="15" hidden="false" customHeight="false" outlineLevel="0" collapsed="false">
      <c r="A7" s="24" t="s">
        <v>104</v>
      </c>
      <c r="B7" s="14" t="s">
        <v>43</v>
      </c>
    </row>
    <row r="10" customFormat="false" ht="31.5" hidden="false" customHeight="true" outlineLevel="0" collapsed="false">
      <c r="A10" s="3" t="s">
        <v>107</v>
      </c>
      <c r="B10" s="3" t="s">
        <v>149</v>
      </c>
      <c r="C10" s="3" t="s">
        <v>46</v>
      </c>
      <c r="D10" s="3" t="s">
        <v>150</v>
      </c>
      <c r="E10" s="3" t="s">
        <v>109</v>
      </c>
    </row>
    <row r="11" customFormat="false" ht="15" hidden="false" customHeight="false" outlineLevel="0" collapsed="false">
      <c r="A11" s="7" t="s">
        <v>110</v>
      </c>
      <c r="B11" s="25" t="n">
        <f aca="false">Settings!$B$13</f>
        <v>15000</v>
      </c>
      <c r="C11" s="25" t="n">
        <f aca="false">Settings!$B$14</f>
        <v>25000</v>
      </c>
      <c r="D11" s="25" t="n">
        <f aca="false">Settings!$B$13</f>
        <v>15000</v>
      </c>
      <c r="E11" s="15" t="s">
        <v>111</v>
      </c>
    </row>
    <row r="12" customFormat="false" ht="15" hidden="false" customHeight="false" outlineLevel="0" collapsed="false">
      <c r="A12" s="7" t="s">
        <v>112</v>
      </c>
      <c r="B12" s="26" t="n">
        <f aca="false">MAX(0,MIN(Settings!$B$16,IF($B$5="",Settings!$B$16,$B$5)))/Settings!$B$15</f>
        <v>0.533333333333333</v>
      </c>
      <c r="C12" s="26" t="n">
        <f aca="false">1</f>
        <v>1</v>
      </c>
      <c r="D12" s="26" t="n">
        <f aca="false">1</f>
        <v>1</v>
      </c>
      <c r="E12" s="15" t="s">
        <v>113</v>
      </c>
    </row>
    <row r="13" customFormat="false" ht="15" hidden="false" customHeight="false" outlineLevel="0" collapsed="false">
      <c r="A13" s="7" t="s">
        <v>114</v>
      </c>
      <c r="B13" s="25" t="n">
        <f aca="false">Settings!$B$14</f>
        <v>25000</v>
      </c>
      <c r="C13" s="25" t="n">
        <f aca="false">Settings!$B$14</f>
        <v>25000</v>
      </c>
      <c r="D13" s="25" t="n">
        <f aca="false">Settings!$B$14</f>
        <v>25000</v>
      </c>
      <c r="E13" s="15" t="s">
        <v>115</v>
      </c>
    </row>
    <row r="14" customFormat="false" ht="15" hidden="false" customHeight="false" outlineLevel="0" collapsed="false">
      <c r="A14" s="7" t="s">
        <v>116</v>
      </c>
      <c r="B14" s="26" t="n">
        <f aca="false">MAX(0,MIN(Settings!$B$17,IF($B$6="",Settings!$B$17,$B$6)))/Settings!$B$15</f>
        <v>0.466666666666667</v>
      </c>
      <c r="C14" s="26" t="n">
        <f aca="false">0</f>
        <v>0</v>
      </c>
      <c r="D14" s="26" t="n">
        <f aca="false">0</f>
        <v>0</v>
      </c>
      <c r="E14" s="15" t="s">
        <v>117</v>
      </c>
    </row>
    <row r="15" customFormat="false" ht="15" hidden="false" customHeight="false" outlineLevel="0" collapsed="false">
      <c r="A15" s="7" t="s">
        <v>118</v>
      </c>
      <c r="B15" s="25" t="n">
        <f aca="false">ROUND(IF(Settings!$B$27,MIN($B$4,B11),$B$4)*B12,0)</f>
        <v>8000</v>
      </c>
      <c r="C15" s="25" t="n">
        <f aca="false">ROUND(IF(Settings!$B$27,MIN($B$4,C11),$B$4)*C12,0)</f>
        <v>25000</v>
      </c>
      <c r="D15" s="25" t="n">
        <f aca="false">ROUND(IF(Settings!$B$27,MIN($B$4,D11),$B$4)*D12,0)</f>
        <v>15000</v>
      </c>
      <c r="E15" s="15" t="s">
        <v>119</v>
      </c>
    </row>
    <row r="16" customFormat="false" ht="15" hidden="false" customHeight="false" outlineLevel="0" collapsed="false">
      <c r="A16" s="7" t="s">
        <v>120</v>
      </c>
      <c r="B16" s="25" t="n">
        <f aca="false">ROUND(IF(Settings!$B$27,MIN($B$4,B13),$B$4)*B14,0)</f>
        <v>11667</v>
      </c>
      <c r="C16" s="25" t="n">
        <f aca="false">ROUND(IF(Settings!$B$27,MIN($B$4,C13),$B$4)*C14,0)</f>
        <v>0</v>
      </c>
      <c r="D16" s="25" t="n">
        <f aca="false">ROUND(IF(Settings!$B$27,MIN($B$4,D13),$B$4)*D14,0)</f>
        <v>0</v>
      </c>
      <c r="E16" s="15" t="s">
        <v>121</v>
      </c>
    </row>
    <row r="17" customFormat="false" ht="15" hidden="false" customHeight="false" outlineLevel="0" collapsed="false">
      <c r="A17" s="27" t="s">
        <v>122</v>
      </c>
      <c r="B17" s="28" t="n">
        <f aca="false">B15+B16</f>
        <v>19667</v>
      </c>
      <c r="C17" s="28" t="n">
        <f aca="false">C15+C16</f>
        <v>25000</v>
      </c>
      <c r="D17" s="28" t="n">
        <f aca="false">D15+D16</f>
        <v>15000</v>
      </c>
      <c r="E17" s="15" t="s">
        <v>123</v>
      </c>
    </row>
    <row r="18" customFormat="false" ht="15" hidden="false" customHeight="false" outlineLevel="0" collapsed="false">
      <c r="A18" s="7" t="s">
        <v>124</v>
      </c>
      <c r="B18" s="25" t="n">
        <f aca="false">ROUND(MIN($B$4,B11)*B12,0)+ROUND(MIN($B$4,B13)*B14,0)</f>
        <v>19667</v>
      </c>
      <c r="C18" s="25" t="n">
        <f aca="false">ROUND(MIN($B$4,C11)*C12,0)+ROUND(MIN($B$4,C13)*C14,0)</f>
        <v>25000</v>
      </c>
      <c r="D18" s="25" t="n">
        <f aca="false">ROUND(MIN($B$4,D11)*D12,0)+ROUND(MIN($B$4,D13)*D14,0)</f>
        <v>15000</v>
      </c>
      <c r="E18" s="15" t="s">
        <v>125</v>
      </c>
    </row>
    <row r="19" customFormat="false" ht="15" hidden="false" customHeight="false" outlineLevel="0" collapsed="false">
      <c r="A19" s="7" t="s">
        <v>126</v>
      </c>
      <c r="B19" s="25" t="n">
        <f aca="false">IF($B$7="No",0,B18)</f>
        <v>19667</v>
      </c>
      <c r="C19" s="25" t="n">
        <f aca="false">IF($B$7="No",0,C18)</f>
        <v>25000</v>
      </c>
      <c r="D19" s="25" t="n">
        <f aca="false">IF($B$7="No",0,D18)</f>
        <v>15000</v>
      </c>
      <c r="E19" s="15" t="s">
        <v>127</v>
      </c>
    </row>
    <row r="20" customFormat="false" ht="15" hidden="false" customHeight="false" outlineLevel="0" collapsed="false">
      <c r="A20" s="7" t="s">
        <v>128</v>
      </c>
      <c r="B20" s="25" t="n">
        <f aca="false">ROUND(B17*Settings!$B$18,0)</f>
        <v>2360</v>
      </c>
      <c r="C20" s="25" t="n">
        <f aca="false">ROUND(C17*Settings!$B$18,0)</f>
        <v>3000</v>
      </c>
      <c r="D20" s="25" t="n">
        <f aca="false">ROUND(D17*Settings!$B$18,0)</f>
        <v>1800</v>
      </c>
      <c r="E20" s="15" t="s">
        <v>129</v>
      </c>
    </row>
    <row r="21" customFormat="false" ht="15" hidden="false" customHeight="false" outlineLevel="0" collapsed="false">
      <c r="A21" s="7" t="s">
        <v>130</v>
      </c>
      <c r="B21" s="25" t="n">
        <f aca="false">ROUND(B17*Settings!$B$19,0)</f>
        <v>2360</v>
      </c>
      <c r="C21" s="25" t="n">
        <f aca="false">ROUND(C17*Settings!$B$19,0)</f>
        <v>3000</v>
      </c>
      <c r="D21" s="25" t="n">
        <f aca="false">ROUND(D17*Settings!$B$19,0)</f>
        <v>1800</v>
      </c>
      <c r="E21" s="15" t="s">
        <v>131</v>
      </c>
    </row>
    <row r="22" customFormat="false" ht="15" hidden="false" customHeight="false" outlineLevel="0" collapsed="false">
      <c r="A22" s="7" t="s">
        <v>132</v>
      </c>
      <c r="B22" s="25" t="n">
        <f aca="false">MIN(ROUND(B19*Settings!$B$20,0),B21)</f>
        <v>1638</v>
      </c>
      <c r="C22" s="25" t="n">
        <f aca="false">MIN(ROUND(C19*Settings!$B$20,0),C21)</f>
        <v>2083</v>
      </c>
      <c r="D22" s="25" t="n">
        <f aca="false">MIN(ROUND(D19*Settings!$B$20,0),D21)</f>
        <v>1250</v>
      </c>
      <c r="E22" s="15" t="s">
        <v>133</v>
      </c>
    </row>
    <row r="23" customFormat="false" ht="15" hidden="false" customHeight="false" outlineLevel="0" collapsed="false">
      <c r="A23" s="7" t="s">
        <v>134</v>
      </c>
      <c r="B23" s="25" t="n">
        <f aca="false">B21-B22</f>
        <v>722</v>
      </c>
      <c r="C23" s="25" t="n">
        <f aca="false">C21-C22</f>
        <v>917</v>
      </c>
      <c r="D23" s="25" t="n">
        <f aca="false">D21-D22</f>
        <v>550</v>
      </c>
      <c r="E23" s="15" t="s">
        <v>135</v>
      </c>
    </row>
    <row r="24" customFormat="false" ht="15" hidden="false" customHeight="false" outlineLevel="0" collapsed="false">
      <c r="A24" s="7" t="s">
        <v>136</v>
      </c>
      <c r="B24" s="25" t="n">
        <f aca="false">IF(Settings!$B$31,ROUND(B17*Settings!$B$22,0),0)</f>
        <v>98</v>
      </c>
      <c r="C24" s="25" t="n">
        <f aca="false">IF(Settings!$B$31,ROUND(C17*Settings!$B$22,0),0)</f>
        <v>125</v>
      </c>
      <c r="D24" s="25" t="n">
        <f aca="false">IF(Settings!$B$31,ROUND(D17*Settings!$B$22,0),0)</f>
        <v>75</v>
      </c>
      <c r="E24" s="15" t="s">
        <v>137</v>
      </c>
    </row>
    <row r="25" customFormat="false" ht="15" hidden="false" customHeight="false" outlineLevel="0" collapsed="false">
      <c r="A25" s="7" t="s">
        <v>138</v>
      </c>
      <c r="B25" s="25" t="n">
        <f aca="false">IF(Settings!$B$31,ROUND(B18*Settings!$B$21,0),0)</f>
        <v>98</v>
      </c>
      <c r="C25" s="25" t="n">
        <f aca="false">IF(Settings!$B$31,ROUND(C18*Settings!$B$21,0),0)</f>
        <v>125</v>
      </c>
      <c r="D25" s="25" t="n">
        <f aca="false">IF(Settings!$B$31,ROUND(D18*Settings!$B$21,0),0)</f>
        <v>75</v>
      </c>
      <c r="E25" s="15" t="s">
        <v>139</v>
      </c>
    </row>
    <row r="26" customFormat="false" ht="15" hidden="false" customHeight="false" outlineLevel="0" collapsed="false">
      <c r="A26" s="27" t="s">
        <v>140</v>
      </c>
      <c r="B26" s="28" t="n">
        <f aca="false">B20+B21+B24+B25</f>
        <v>4916</v>
      </c>
      <c r="C26" s="28" t="n">
        <f aca="false">C20+C21+C24+C25</f>
        <v>6250</v>
      </c>
      <c r="D26" s="28" t="n">
        <f aca="false">D20+D21+D24+D25</f>
        <v>3750</v>
      </c>
      <c r="E26" s="15" t="s">
        <v>141</v>
      </c>
    </row>
    <row r="28" customFormat="false" ht="15" hidden="false" customHeight="false" outlineLevel="0" collapsed="false">
      <c r="A28" s="12" t="s">
        <v>151</v>
      </c>
    </row>
    <row r="29" customFormat="false" ht="15" hidden="false" customHeight="false" outlineLevel="0" collapsed="false">
      <c r="A29" s="3"/>
      <c r="B29" s="3" t="s">
        <v>149</v>
      </c>
      <c r="C29" s="3" t="s">
        <v>46</v>
      </c>
      <c r="D29" s="3" t="s">
        <v>150</v>
      </c>
      <c r="E29" s="3"/>
    </row>
    <row r="30" customFormat="false" ht="15" hidden="false" customHeight="false" outlineLevel="0" collapsed="false">
      <c r="A30" s="7" t="s">
        <v>152</v>
      </c>
      <c r="B30" s="29" t="n">
        <f aca="false">B20-$B$20</f>
        <v>0</v>
      </c>
      <c r="C30" s="29" t="n">
        <f aca="false">C20-$B$20</f>
        <v>640</v>
      </c>
      <c r="D30" s="29" t="n">
        <f aca="false">D20-$B$20</f>
        <v>-560</v>
      </c>
      <c r="E30" s="10" t="s">
        <v>153</v>
      </c>
    </row>
    <row r="31" customFormat="false" ht="15" hidden="false" customHeight="false" outlineLevel="0" collapsed="false">
      <c r="A31" s="7" t="s">
        <v>154</v>
      </c>
      <c r="B31" s="29" t="n">
        <f aca="false">B26-$B$26</f>
        <v>0</v>
      </c>
      <c r="C31" s="29" t="n">
        <f aca="false">C26-$B$26</f>
        <v>1334</v>
      </c>
      <c r="D31" s="29" t="n">
        <f aca="false">D26-$B$26</f>
        <v>-1166</v>
      </c>
      <c r="E31" s="10" t="s">
        <v>155</v>
      </c>
    </row>
    <row r="33" customFormat="false" ht="31.5" hidden="false" customHeight="true" outlineLevel="0" collapsed="false">
      <c r="A33" s="11" t="s">
        <v>156</v>
      </c>
      <c r="B33" s="11"/>
      <c r="C33" s="11"/>
      <c r="D33" s="11"/>
      <c r="E33" s="11"/>
    </row>
  </sheetData>
  <sheetProtection sheet="true" formatCells="false" formatColumns="false" formatRows="false"/>
  <mergeCells count="1">
    <mergeCell ref="A33:E33"/>
  </mergeCells>
  <dataValidations count="1">
    <dataValidation allowBlank="false" errorStyle="stop" operator="between" showDropDown="false" showErrorMessage="false" showInputMessage="false" sqref="B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2"/>
    <col collapsed="false" customWidth="true" hidden="false" outlineLevel="0" max="5" min="4" style="0" width="11"/>
    <col collapsed="false" customWidth="true" hidden="false" outlineLevel="0" max="8" min="6" style="0" width="13"/>
    <col collapsed="false" customWidth="true" hidden="false" outlineLevel="0" max="10" min="9" style="0" width="12"/>
    <col collapsed="false" customWidth="true" hidden="false" outlineLevel="0" max="12" min="11" style="0" width="11"/>
    <col collapsed="false" customWidth="true" hidden="false" outlineLevel="0" max="26" min="13" style="0" width="15"/>
    <col collapsed="false" customWidth="true" hidden="false" outlineLevel="0" max="27" min="27" style="0" width="60"/>
  </cols>
  <sheetData>
    <row r="1" customFormat="false" ht="19.7" hidden="false" customHeight="false" outlineLevel="0" collapsed="false">
      <c r="A1" s="1" t="s">
        <v>157</v>
      </c>
    </row>
    <row r="2" customFormat="false" ht="15" hidden="false" customHeight="false" outlineLevel="0" collapsed="false">
      <c r="A2" s="2" t="s">
        <v>158</v>
      </c>
    </row>
    <row r="4" customFormat="false" ht="15" hidden="false" customHeight="false" outlineLevel="0" collapsed="false">
      <c r="A4" s="30" t="str">
        <f aca="false">IF(Settings!B33,"Row 4: mark Y for heads LEFT OUT of PF wage","Row 4: mark Y for heads COUNTED as PF wage")</f>
        <v>Row 4: mark Y for heads COUNTED as PF wage</v>
      </c>
      <c r="B4" s="30"/>
      <c r="C4" s="14" t="s">
        <v>159</v>
      </c>
      <c r="D4" s="14" t="s">
        <v>160</v>
      </c>
      <c r="E4" s="14" t="s">
        <v>160</v>
      </c>
      <c r="F4" s="14" t="s">
        <v>160</v>
      </c>
      <c r="G4" s="14" t="s">
        <v>160</v>
      </c>
    </row>
    <row r="5" customFormat="false" ht="15" hidden="false" customHeight="false" outlineLevel="0" collapsed="false">
      <c r="A5" s="31" t="s">
        <v>161</v>
      </c>
      <c r="B5" s="32" t="str">
        <f aca="false">COUNT(M8:M307)&amp;" employees counted"</f>
        <v>3 employees counted</v>
      </c>
      <c r="M5" s="28" t="n">
        <f aca="false">SUM(M8:M307)</f>
        <v>50000</v>
      </c>
      <c r="P5" s="28" t="n">
        <f aca="false">SUM(P8:P307)</f>
        <v>14400</v>
      </c>
      <c r="Q5" s="28" t="n">
        <f aca="false">SUM(Q8:Q307)</f>
        <v>23333</v>
      </c>
      <c r="R5" s="28" t="n">
        <f aca="false">SUM(R8:R307)</f>
        <v>37733</v>
      </c>
      <c r="S5" s="28" t="n">
        <f aca="false">SUM(S8:S307)</f>
        <v>37733</v>
      </c>
      <c r="T5" s="28" t="n">
        <f aca="false">SUM(T8:T307)</f>
        <v>37733</v>
      </c>
      <c r="U5" s="28" t="n">
        <f aca="false">SUM(U8:U307)</f>
        <v>4528</v>
      </c>
      <c r="V5" s="28" t="n">
        <f aca="false">SUM(V8:V307)</f>
        <v>1384</v>
      </c>
      <c r="W5" s="28" t="n">
        <f aca="false">SUM(W8:W307)</f>
        <v>189</v>
      </c>
      <c r="X5" s="28" t="n">
        <f aca="false">SUM(X8:X307)</f>
        <v>3144</v>
      </c>
      <c r="Y5" s="28" t="n">
        <f aca="false">SUM(Y8:Y307)</f>
        <v>189</v>
      </c>
      <c r="Z5" s="28" t="n">
        <f aca="false">SUM(Z8:Z307)</f>
        <v>9434</v>
      </c>
    </row>
    <row r="6" customFormat="false" ht="15" hidden="false" customHeight="false" outlineLevel="0" collapsed="false">
      <c r="A6" s="12" t="s">
        <v>162</v>
      </c>
      <c r="M6" s="12" t="s">
        <v>163</v>
      </c>
      <c r="U6" s="12" t="s">
        <v>164</v>
      </c>
    </row>
    <row r="7" customFormat="false" ht="48" hidden="false" customHeight="true" outlineLevel="0" collapsed="false">
      <c r="A7" s="3" t="s">
        <v>165</v>
      </c>
      <c r="B7" s="3" t="s">
        <v>166</v>
      </c>
      <c r="C7" s="3" t="s">
        <v>167</v>
      </c>
      <c r="D7" s="3" t="s">
        <v>168</v>
      </c>
      <c r="E7" s="3" t="s">
        <v>169</v>
      </c>
      <c r="F7" s="3" t="s">
        <v>170</v>
      </c>
      <c r="G7" s="3" t="s">
        <v>171</v>
      </c>
      <c r="H7" s="3" t="s">
        <v>172</v>
      </c>
      <c r="I7" s="3" t="s">
        <v>173</v>
      </c>
      <c r="J7" s="3" t="s">
        <v>174</v>
      </c>
      <c r="K7" s="3" t="s">
        <v>175</v>
      </c>
      <c r="L7" s="3" t="s">
        <v>176</v>
      </c>
      <c r="M7" s="33" t="s">
        <v>177</v>
      </c>
      <c r="N7" s="33" t="s">
        <v>112</v>
      </c>
      <c r="O7" s="33" t="s">
        <v>116</v>
      </c>
      <c r="P7" s="33" t="s">
        <v>118</v>
      </c>
      <c r="Q7" s="33" t="s">
        <v>120</v>
      </c>
      <c r="R7" s="33" t="s">
        <v>122</v>
      </c>
      <c r="S7" s="33" t="s">
        <v>178</v>
      </c>
      <c r="T7" s="33" t="s">
        <v>126</v>
      </c>
      <c r="U7" s="3" t="s">
        <v>128</v>
      </c>
      <c r="V7" s="3" t="s">
        <v>179</v>
      </c>
      <c r="W7" s="3" t="s">
        <v>136</v>
      </c>
      <c r="X7" s="3" t="s">
        <v>132</v>
      </c>
      <c r="Y7" s="3" t="s">
        <v>138</v>
      </c>
      <c r="Z7" s="3" t="s">
        <v>180</v>
      </c>
      <c r="AA7" s="3" t="s">
        <v>181</v>
      </c>
    </row>
    <row r="8" customFormat="false" ht="15" hidden="false" customHeight="false" outlineLevel="0" collapsed="false">
      <c r="A8" s="14" t="s">
        <v>182</v>
      </c>
      <c r="B8" s="14" t="s">
        <v>183</v>
      </c>
      <c r="C8" s="17" t="n">
        <v>12000</v>
      </c>
      <c r="D8" s="17" t="n">
        <v>6000</v>
      </c>
      <c r="E8" s="17" t="n">
        <v>1000</v>
      </c>
      <c r="F8" s="17" t="n">
        <v>1250</v>
      </c>
      <c r="G8" s="17" t="n">
        <v>4750</v>
      </c>
      <c r="H8" s="17" t="n">
        <v>25000</v>
      </c>
      <c r="I8" s="14" t="n">
        <v>16</v>
      </c>
      <c r="J8" s="14" t="n">
        <v>14</v>
      </c>
      <c r="K8" s="14" t="s">
        <v>159</v>
      </c>
      <c r="L8" s="14" t="s">
        <v>159</v>
      </c>
      <c r="M8" s="34" t="n">
        <f aca="false">IF(COUNT(C8:H8)=0,"",IFERROR(MAX(0,ROUND(IF(Settings!$B$33,IF(H8="",SUM(C8:G8),H8)-SUMPRODUCT(($C$4:$G$4="Y")*C8:G8),SUMPRODUCT(($C$4:$G$4="Y")*C8:G8)),0)),"Check inputs"))</f>
        <v>12000</v>
      </c>
      <c r="N8" s="35" t="n">
        <f aca="false">IF(AND(N($M8)&gt;0,UPPER($K8)&lt;&gt;"N"),IF(Settings!$B$28,MAX(0,MIN(Settings!$B$16,IF(I8="",Settings!$B$16,I8)))/Settings!$B$15,1),"")</f>
        <v>0.533333333333333</v>
      </c>
      <c r="O8" s="35" t="n">
        <f aca="false">IF(AND(N($M8)&gt;0,UPPER($K8)&lt;&gt;"N"),IF(Settings!$B$28,MAX(0,MIN(Settings!$B$17,IF(J8="",Settings!$B$17,J8)))/Settings!$B$15,0),"")</f>
        <v>0.466666666666667</v>
      </c>
      <c r="P8" s="34" t="n">
        <f aca="false">IF(N8="","",ROUND(IF(Settings!$B$27,MIN($M8,Settings!$B$29),$M8)*N8,0))</f>
        <v>6400</v>
      </c>
      <c r="Q8" s="34" t="n">
        <f aca="false">IF(N8="","",ROUND(IF(Settings!$B$27,MIN($M8,Settings!$B$30),$M8)*O8,0))</f>
        <v>5600</v>
      </c>
      <c r="R8" s="34" t="n">
        <f aca="false">IF(N8="","",P8+Q8)</f>
        <v>12000</v>
      </c>
      <c r="S8" s="34" t="n">
        <f aca="false">IF(N8="","",ROUND(MIN($M8,Settings!$B$29)*N8,0)+ROUND(MIN($M8,Settings!$B$30)*O8,0))</f>
        <v>12000</v>
      </c>
      <c r="T8" s="34" t="n">
        <f aca="false">IF(N8="","",IF(UPPER(L8)="N",0,S8))</f>
        <v>12000</v>
      </c>
      <c r="U8" s="25" t="n">
        <f aca="false">IF(N8="","",ROUND(R8*Settings!$B$18,0))</f>
        <v>1440</v>
      </c>
      <c r="V8" s="25" t="n">
        <f aca="false">IF(N8="","",ROUND(R8*Settings!$B$19,0)-X8)</f>
        <v>440</v>
      </c>
      <c r="W8" s="25" t="n">
        <f aca="false">IF(N8="","",IF(Settings!$B$31,ROUND(R8*Settings!$B$22,0),0))</f>
        <v>60</v>
      </c>
      <c r="X8" s="25" t="n">
        <f aca="false">IF(N8="","",MIN(ROUND(T8*Settings!$B$20,0),ROUND(R8*Settings!$B$19,0)))</f>
        <v>1000</v>
      </c>
      <c r="Y8" s="25" t="n">
        <f aca="false">IF(N8="","",IF(Settings!$B$31,ROUND(S8*Settings!$B$21,0),0))</f>
        <v>60</v>
      </c>
      <c r="Z8" s="25" t="n">
        <f aca="false">IF(N8="","",U8+V8+X8+W8+Y8)</f>
        <v>3000</v>
      </c>
      <c r="AA8" s="7" t="str">
        <f aca="false">IF(COUNT(C8:H8)=0,"",TRIM(IF(UPPER(K8)="N","Not a PF member, skipped. ","")&amp;IF(AND(UPPER(K8)&lt;&gt;"N",N(M8)&lt;=0),"PF wage is zero, skipped. ","")&amp;IF(AND(UPPER(K8)&lt;&gt;"N",N(M8)&gt;0,UPPER(L8)="N"),"Pension not applicable, whole 12% goes to EPF. ","")&amp;IF(AND(ISNUMBER(H8),ABS(SUM(C8:G8)-N(H8))&gt;1),"Heads in the file add up to "&amp;SUM(C8:G8)&amp;", Gross is "&amp;H8&amp;" (a pay head may be missing). ","")&amp;IF(AND(Settings!$B$32,N(H8)&gt;0,ISNUMBER(M8),N(M8)&lt;H8*0.5-0.5),"50% check: PF wage is "&amp;TEXT(M8/H8,"0%")&amp;" of gross. ","")&amp;IF(AND(N(M8)&gt;0,UPPER(K8)&lt;&gt;"N",N(N8)+N(O8)=0),"No days to count. ","")))</f>
        <v/>
      </c>
    </row>
    <row r="9" customFormat="false" ht="15" hidden="false" customHeight="false" outlineLevel="0" collapsed="false">
      <c r="A9" s="14" t="s">
        <v>184</v>
      </c>
      <c r="B9" s="14" t="s">
        <v>185</v>
      </c>
      <c r="C9" s="17" t="n">
        <v>20000</v>
      </c>
      <c r="D9" s="17" t="n">
        <v>10000</v>
      </c>
      <c r="E9" s="17" t="n">
        <v>1500</v>
      </c>
      <c r="F9" s="17" t="n">
        <v>1250</v>
      </c>
      <c r="G9" s="17" t="n">
        <v>7250</v>
      </c>
      <c r="H9" s="17" t="n">
        <v>40000</v>
      </c>
      <c r="I9" s="14" t="n">
        <v>16</v>
      </c>
      <c r="J9" s="14" t="n">
        <v>14</v>
      </c>
      <c r="K9" s="14" t="s">
        <v>159</v>
      </c>
      <c r="L9" s="14" t="s">
        <v>159</v>
      </c>
      <c r="M9" s="34" t="n">
        <f aca="false">IF(COUNT(C9:H9)=0,"",IFERROR(MAX(0,ROUND(IF(Settings!$B$33,IF(H9="",SUM(C9:G9),H9)-SUMPRODUCT(($C$4:$G$4="Y")*C9:G9),SUMPRODUCT(($C$4:$G$4="Y")*C9:G9)),0)),"Check inputs"))</f>
        <v>20000</v>
      </c>
      <c r="N9" s="35" t="n">
        <f aca="false">IF(AND(N($M9)&gt;0,UPPER($K9)&lt;&gt;"N"),IF(Settings!$B$28,MAX(0,MIN(Settings!$B$16,IF(I9="",Settings!$B$16,I9)))/Settings!$B$15,1),"")</f>
        <v>0.533333333333333</v>
      </c>
      <c r="O9" s="35" t="n">
        <f aca="false">IF(AND(N($M9)&gt;0,UPPER($K9)&lt;&gt;"N"),IF(Settings!$B$28,MAX(0,MIN(Settings!$B$17,IF(J9="",Settings!$B$17,J9)))/Settings!$B$15,0),"")</f>
        <v>0.466666666666667</v>
      </c>
      <c r="P9" s="34" t="n">
        <f aca="false">IF(N9="","",ROUND(IF(Settings!$B$27,MIN($M9,Settings!$B$29),$M9)*N9,0))</f>
        <v>8000</v>
      </c>
      <c r="Q9" s="34" t="n">
        <f aca="false">IF(N9="","",ROUND(IF(Settings!$B$27,MIN($M9,Settings!$B$30),$M9)*O9,0))</f>
        <v>9333</v>
      </c>
      <c r="R9" s="34" t="n">
        <f aca="false">IF(N9="","",P9+Q9)</f>
        <v>17333</v>
      </c>
      <c r="S9" s="34" t="n">
        <f aca="false">IF(N9="","",ROUND(MIN($M9,Settings!$B$29)*N9,0)+ROUND(MIN($M9,Settings!$B$30)*O9,0))</f>
        <v>17333</v>
      </c>
      <c r="T9" s="34" t="n">
        <f aca="false">IF(N9="","",IF(UPPER(L9)="N",0,S9))</f>
        <v>17333</v>
      </c>
      <c r="U9" s="25" t="n">
        <f aca="false">IF(N9="","",ROUND(R9*Settings!$B$18,0))</f>
        <v>2080</v>
      </c>
      <c r="V9" s="25" t="n">
        <f aca="false">IF(N9="","",ROUND(R9*Settings!$B$19,0)-X9)</f>
        <v>636</v>
      </c>
      <c r="W9" s="25" t="n">
        <f aca="false">IF(N9="","",IF(Settings!$B$31,ROUND(R9*Settings!$B$22,0),0))</f>
        <v>87</v>
      </c>
      <c r="X9" s="25" t="n">
        <f aca="false">IF(N9="","",MIN(ROUND(T9*Settings!$B$20,0),ROUND(R9*Settings!$B$19,0)))</f>
        <v>1444</v>
      </c>
      <c r="Y9" s="25" t="n">
        <f aca="false">IF(N9="","",IF(Settings!$B$31,ROUND(S9*Settings!$B$21,0),0))</f>
        <v>87</v>
      </c>
      <c r="Z9" s="25" t="n">
        <f aca="false">IF(N9="","",U9+V9+X9+W9+Y9)</f>
        <v>4334</v>
      </c>
      <c r="AA9" s="7" t="str">
        <f aca="false">IF(COUNT(C9:H9)=0,"",TRIM(IF(UPPER(K9)="N","Not a PF member, skipped. ","")&amp;IF(AND(UPPER(K9)&lt;&gt;"N",N(M9)&lt;=0),"PF wage is zero, skipped. ","")&amp;IF(AND(UPPER(K9)&lt;&gt;"N",N(M9)&gt;0,UPPER(L9)="N"),"Pension not applicable, whole 12% goes to EPF. ","")&amp;IF(AND(ISNUMBER(H9),ABS(SUM(C9:G9)-N(H9))&gt;1),"Heads in the file add up to "&amp;SUM(C9:G9)&amp;", Gross is "&amp;H9&amp;" (a pay head may be missing). ","")&amp;IF(AND(Settings!$B$32,N(H9)&gt;0,ISNUMBER(M9),N(M9)&lt;H9*0.5-0.5),"50% check: PF wage is "&amp;TEXT(M9/H9,"0%")&amp;" of gross. ","")&amp;IF(AND(N(M9)&gt;0,UPPER(K9)&lt;&gt;"N",N(N9)+N(O9)=0),"No days to count. ","")))</f>
        <v/>
      </c>
    </row>
    <row r="10" customFormat="false" ht="15" hidden="false" customHeight="false" outlineLevel="0" collapsed="false">
      <c r="A10" s="14" t="s">
        <v>186</v>
      </c>
      <c r="B10" s="14" t="s">
        <v>187</v>
      </c>
      <c r="C10" s="17" t="n">
        <v>18000</v>
      </c>
      <c r="D10" s="17" t="n">
        <v>9000</v>
      </c>
      <c r="E10" s="17" t="n">
        <v>1000</v>
      </c>
      <c r="F10" s="17" t="n">
        <v>1250</v>
      </c>
      <c r="G10" s="17" t="n">
        <v>5750</v>
      </c>
      <c r="H10" s="17" t="n">
        <v>35000</v>
      </c>
      <c r="I10" s="14" t="n">
        <v>0</v>
      </c>
      <c r="J10" s="14" t="n">
        <v>14</v>
      </c>
      <c r="K10" s="14" t="s">
        <v>159</v>
      </c>
      <c r="L10" s="14" t="s">
        <v>159</v>
      </c>
      <c r="M10" s="34" t="n">
        <f aca="false">IF(COUNT(C10:H10)=0,"",IFERROR(MAX(0,ROUND(IF(Settings!$B$33,IF(H10="",SUM(C10:G10),H10)-SUMPRODUCT(($C$4:$G$4="Y")*C10:G10),SUMPRODUCT(($C$4:$G$4="Y")*C10:G10)),0)),"Check inputs"))</f>
        <v>18000</v>
      </c>
      <c r="N10" s="35" t="n">
        <f aca="false">IF(AND(N($M10)&gt;0,UPPER($K10)&lt;&gt;"N"),IF(Settings!$B$28,MAX(0,MIN(Settings!$B$16,IF(I10="",Settings!$B$16,I10)))/Settings!$B$15,1),"")</f>
        <v>0</v>
      </c>
      <c r="O10" s="35" t="n">
        <f aca="false">IF(AND(N($M10)&gt;0,UPPER($K10)&lt;&gt;"N"),IF(Settings!$B$28,MAX(0,MIN(Settings!$B$17,IF(J10="",Settings!$B$17,J10)))/Settings!$B$15,0),"")</f>
        <v>0.466666666666667</v>
      </c>
      <c r="P10" s="34" t="n">
        <f aca="false">IF(N10="","",ROUND(IF(Settings!$B$27,MIN($M10,Settings!$B$29),$M10)*N10,0))</f>
        <v>0</v>
      </c>
      <c r="Q10" s="34" t="n">
        <f aca="false">IF(N10="","",ROUND(IF(Settings!$B$27,MIN($M10,Settings!$B$30),$M10)*O10,0))</f>
        <v>8400</v>
      </c>
      <c r="R10" s="34" t="n">
        <f aca="false">IF(N10="","",P10+Q10)</f>
        <v>8400</v>
      </c>
      <c r="S10" s="34" t="n">
        <f aca="false">IF(N10="","",ROUND(MIN($M10,Settings!$B$29)*N10,0)+ROUND(MIN($M10,Settings!$B$30)*O10,0))</f>
        <v>8400</v>
      </c>
      <c r="T10" s="34" t="n">
        <f aca="false">IF(N10="","",IF(UPPER(L10)="N",0,S10))</f>
        <v>8400</v>
      </c>
      <c r="U10" s="25" t="n">
        <f aca="false">IF(N10="","",ROUND(R10*Settings!$B$18,0))</f>
        <v>1008</v>
      </c>
      <c r="V10" s="25" t="n">
        <f aca="false">IF(N10="","",ROUND(R10*Settings!$B$19,0)-X10)</f>
        <v>308</v>
      </c>
      <c r="W10" s="25" t="n">
        <f aca="false">IF(N10="","",IF(Settings!$B$31,ROUND(R10*Settings!$B$22,0),0))</f>
        <v>42</v>
      </c>
      <c r="X10" s="25" t="n">
        <f aca="false">IF(N10="","",MIN(ROUND(T10*Settings!$B$20,0),ROUND(R10*Settings!$B$19,0)))</f>
        <v>700</v>
      </c>
      <c r="Y10" s="25" t="n">
        <f aca="false">IF(N10="","",IF(Settings!$B$31,ROUND(S10*Settings!$B$21,0),0))</f>
        <v>42</v>
      </c>
      <c r="Z10" s="25" t="n">
        <f aca="false">IF(N10="","",U10+V10+X10+W10+Y10)</f>
        <v>2100</v>
      </c>
      <c r="AA10" s="7" t="str">
        <f aca="false">IF(COUNT(C10:H10)=0,"",TRIM(IF(UPPER(K10)="N","Not a PF member, skipped. ","")&amp;IF(AND(UPPER(K10)&lt;&gt;"N",N(M10)&lt;=0),"PF wage is zero, skipped. ","")&amp;IF(AND(UPPER(K10)&lt;&gt;"N",N(M10)&gt;0,UPPER(L10)="N"),"Pension not applicable, whole 12% goes to EPF. ","")&amp;IF(AND(ISNUMBER(H10),ABS(SUM(C10:G10)-N(H10))&gt;1),"Heads in the file add up to "&amp;SUM(C10:G10)&amp;", Gross is "&amp;H10&amp;" (a pay head may be missing). ","")&amp;IF(AND(Settings!$B$32,N(H10)&gt;0,ISNUMBER(M10),N(M10)&lt;H10*0.5-0.5),"50% check: PF wage is "&amp;TEXT(M10/H10,"0%")&amp;" of gross. ","")&amp;IF(AND(N(M10)&gt;0,UPPER(K10)&lt;&gt;"N",N(N10)+N(O10)=0),"No days to count. ","")))</f>
        <v/>
      </c>
    </row>
    <row r="11" customFormat="false" ht="15" hidden="false" customHeight="false" outlineLevel="0" collapsed="false">
      <c r="A11" s="14"/>
      <c r="B11" s="14"/>
      <c r="C11" s="17"/>
      <c r="D11" s="17"/>
      <c r="E11" s="17"/>
      <c r="F11" s="17"/>
      <c r="G11" s="17"/>
      <c r="H11" s="17"/>
      <c r="I11" s="14"/>
      <c r="J11" s="14"/>
      <c r="K11" s="14"/>
      <c r="L11" s="14"/>
      <c r="M11" s="34" t="str">
        <f aca="false">IF(COUNT(C11:H11)=0,"",IFERROR(MAX(0,ROUND(IF(Settings!$B$33,IF(H11="",SUM(C11:G11),H11)-SUMPRODUCT(($C$4:$G$4="Y")*C11:G11),SUMPRODUCT(($C$4:$G$4="Y")*C11:G11)),0)),"Check inputs"))</f>
        <v/>
      </c>
      <c r="N11" s="35" t="str">
        <f aca="false">IF(AND(N($M11)&gt;0,UPPER($K11)&lt;&gt;"N"),IF(Settings!$B$28,MAX(0,MIN(Settings!$B$16,IF(I11="",Settings!$B$16,I11)))/Settings!$B$15,1),"")</f>
        <v/>
      </c>
      <c r="O11" s="35" t="str">
        <f aca="false">IF(AND(N($M11)&gt;0,UPPER($K11)&lt;&gt;"N"),IF(Settings!$B$28,MAX(0,MIN(Settings!$B$17,IF(J11="",Settings!$B$17,J11)))/Settings!$B$15,0),"")</f>
        <v/>
      </c>
      <c r="P11" s="34" t="str">
        <f aca="false">IF(N11="","",ROUND(IF(Settings!$B$27,MIN($M11,Settings!$B$29),$M11)*N11,0))</f>
        <v/>
      </c>
      <c r="Q11" s="34" t="str">
        <f aca="false">IF(N11="","",ROUND(IF(Settings!$B$27,MIN($M11,Settings!$B$30),$M11)*O11,0))</f>
        <v/>
      </c>
      <c r="R11" s="34" t="str">
        <f aca="false">IF(N11="","",P11+Q11)</f>
        <v/>
      </c>
      <c r="S11" s="34" t="str">
        <f aca="false">IF(N11="","",ROUND(MIN($M11,Settings!$B$29)*N11,0)+ROUND(MIN($M11,Settings!$B$30)*O11,0))</f>
        <v/>
      </c>
      <c r="T11" s="34" t="str">
        <f aca="false">IF(N11="","",IF(UPPER(L11)="N",0,S11))</f>
        <v/>
      </c>
      <c r="U11" s="25" t="str">
        <f aca="false">IF(N11="","",ROUND(R11*Settings!$B$18,0))</f>
        <v/>
      </c>
      <c r="V11" s="25" t="str">
        <f aca="false">IF(N11="","",ROUND(R11*Settings!$B$19,0)-X11)</f>
        <v/>
      </c>
      <c r="W11" s="25" t="str">
        <f aca="false">IF(N11="","",IF(Settings!$B$31,ROUND(R11*Settings!$B$22,0),0))</f>
        <v/>
      </c>
      <c r="X11" s="25" t="str">
        <f aca="false">IF(N11="","",MIN(ROUND(T11*Settings!$B$20,0),ROUND(R11*Settings!$B$19,0)))</f>
        <v/>
      </c>
      <c r="Y11" s="25" t="str">
        <f aca="false">IF(N11="","",IF(Settings!$B$31,ROUND(S11*Settings!$B$21,0),0))</f>
        <v/>
      </c>
      <c r="Z11" s="25" t="str">
        <f aca="false">IF(N11="","",U11+V11+X11+W11+Y11)</f>
        <v/>
      </c>
      <c r="AA11" s="7" t="str">
        <f aca="false">IF(COUNT(C11:H11)=0,"",TRIM(IF(UPPER(K11)="N","Not a PF member, skipped. ","")&amp;IF(AND(UPPER(K11)&lt;&gt;"N",N(M11)&lt;=0),"PF wage is zero, skipped. ","")&amp;IF(AND(UPPER(K11)&lt;&gt;"N",N(M11)&gt;0,UPPER(L11)="N"),"Pension not applicable, whole 12% goes to EPF. ","")&amp;IF(AND(ISNUMBER(H11),ABS(SUM(C11:G11)-N(H11))&gt;1),"Heads in the file add up to "&amp;SUM(C11:G11)&amp;", Gross is "&amp;H11&amp;" (a pay head may be missing). ","")&amp;IF(AND(Settings!$B$32,N(H11)&gt;0,ISNUMBER(M11),N(M11)&lt;H11*0.5-0.5),"50% check: PF wage is "&amp;TEXT(M11/H11,"0%")&amp;" of gross. ","")&amp;IF(AND(N(M11)&gt;0,UPPER(K11)&lt;&gt;"N",N(N11)+N(O11)=0),"No days to count. ","")))</f>
        <v/>
      </c>
    </row>
    <row r="12" customFormat="false" ht="15" hidden="false" customHeight="false" outlineLevel="0" collapsed="false">
      <c r="A12" s="14"/>
      <c r="B12" s="14"/>
      <c r="C12" s="17"/>
      <c r="D12" s="17"/>
      <c r="E12" s="17"/>
      <c r="F12" s="17"/>
      <c r="G12" s="17"/>
      <c r="H12" s="17"/>
      <c r="I12" s="14"/>
      <c r="J12" s="14"/>
      <c r="K12" s="14"/>
      <c r="L12" s="14"/>
      <c r="M12" s="34" t="str">
        <f aca="false">IF(COUNT(C12:H12)=0,"",IFERROR(MAX(0,ROUND(IF(Settings!$B$33,IF(H12="",SUM(C12:G12),H12)-SUMPRODUCT(($C$4:$G$4="Y")*C12:G12),SUMPRODUCT(($C$4:$G$4="Y")*C12:G12)),0)),"Check inputs"))</f>
        <v/>
      </c>
      <c r="N12" s="35" t="str">
        <f aca="false">IF(AND(N($M12)&gt;0,UPPER($K12)&lt;&gt;"N"),IF(Settings!$B$28,MAX(0,MIN(Settings!$B$16,IF(I12="",Settings!$B$16,I12)))/Settings!$B$15,1),"")</f>
        <v/>
      </c>
      <c r="O12" s="35" t="str">
        <f aca="false">IF(AND(N($M12)&gt;0,UPPER($K12)&lt;&gt;"N"),IF(Settings!$B$28,MAX(0,MIN(Settings!$B$17,IF(J12="",Settings!$B$17,J12)))/Settings!$B$15,0),"")</f>
        <v/>
      </c>
      <c r="P12" s="34" t="str">
        <f aca="false">IF(N12="","",ROUND(IF(Settings!$B$27,MIN($M12,Settings!$B$29),$M12)*N12,0))</f>
        <v/>
      </c>
      <c r="Q12" s="34" t="str">
        <f aca="false">IF(N12="","",ROUND(IF(Settings!$B$27,MIN($M12,Settings!$B$30),$M12)*O12,0))</f>
        <v/>
      </c>
      <c r="R12" s="34" t="str">
        <f aca="false">IF(N12="","",P12+Q12)</f>
        <v/>
      </c>
      <c r="S12" s="34" t="str">
        <f aca="false">IF(N12="","",ROUND(MIN($M12,Settings!$B$29)*N12,0)+ROUND(MIN($M12,Settings!$B$30)*O12,0))</f>
        <v/>
      </c>
      <c r="T12" s="34" t="str">
        <f aca="false">IF(N12="","",IF(UPPER(L12)="N",0,S12))</f>
        <v/>
      </c>
      <c r="U12" s="25" t="str">
        <f aca="false">IF(N12="","",ROUND(R12*Settings!$B$18,0))</f>
        <v/>
      </c>
      <c r="V12" s="25" t="str">
        <f aca="false">IF(N12="","",ROUND(R12*Settings!$B$19,0)-X12)</f>
        <v/>
      </c>
      <c r="W12" s="25" t="str">
        <f aca="false">IF(N12="","",IF(Settings!$B$31,ROUND(R12*Settings!$B$22,0),0))</f>
        <v/>
      </c>
      <c r="X12" s="25" t="str">
        <f aca="false">IF(N12="","",MIN(ROUND(T12*Settings!$B$20,0),ROUND(R12*Settings!$B$19,0)))</f>
        <v/>
      </c>
      <c r="Y12" s="25" t="str">
        <f aca="false">IF(N12="","",IF(Settings!$B$31,ROUND(S12*Settings!$B$21,0),0))</f>
        <v/>
      </c>
      <c r="Z12" s="25" t="str">
        <f aca="false">IF(N12="","",U12+V12+X12+W12+Y12)</f>
        <v/>
      </c>
      <c r="AA12" s="7" t="str">
        <f aca="false">IF(COUNT(C12:H12)=0,"",TRIM(IF(UPPER(K12)="N","Not a PF member, skipped. ","")&amp;IF(AND(UPPER(K12)&lt;&gt;"N",N(M12)&lt;=0),"PF wage is zero, skipped. ","")&amp;IF(AND(UPPER(K12)&lt;&gt;"N",N(M12)&gt;0,UPPER(L12)="N"),"Pension not applicable, whole 12% goes to EPF. ","")&amp;IF(AND(ISNUMBER(H12),ABS(SUM(C12:G12)-N(H12))&gt;1),"Heads in the file add up to "&amp;SUM(C12:G12)&amp;", Gross is "&amp;H12&amp;" (a pay head may be missing). ","")&amp;IF(AND(Settings!$B$32,N(H12)&gt;0,ISNUMBER(M12),N(M12)&lt;H12*0.5-0.5),"50% check: PF wage is "&amp;TEXT(M12/H12,"0%")&amp;" of gross. ","")&amp;IF(AND(N(M12)&gt;0,UPPER(K12)&lt;&gt;"N",N(N12)+N(O12)=0),"No days to count. ","")))</f>
        <v/>
      </c>
    </row>
    <row r="13" customFormat="false" ht="15" hidden="false" customHeight="false" outlineLevel="0" collapsed="false">
      <c r="A13" s="14"/>
      <c r="B13" s="14"/>
      <c r="C13" s="17"/>
      <c r="D13" s="17"/>
      <c r="E13" s="17"/>
      <c r="F13" s="17"/>
      <c r="G13" s="17"/>
      <c r="H13" s="17"/>
      <c r="I13" s="14"/>
      <c r="J13" s="14"/>
      <c r="K13" s="14"/>
      <c r="L13" s="14"/>
      <c r="M13" s="34" t="str">
        <f aca="false">IF(COUNT(C13:H13)=0,"",IFERROR(MAX(0,ROUND(IF(Settings!$B$33,IF(H13="",SUM(C13:G13),H13)-SUMPRODUCT(($C$4:$G$4="Y")*C13:G13),SUMPRODUCT(($C$4:$G$4="Y")*C13:G13)),0)),"Check inputs"))</f>
        <v/>
      </c>
      <c r="N13" s="35" t="str">
        <f aca="false">IF(AND(N($M13)&gt;0,UPPER($K13)&lt;&gt;"N"),IF(Settings!$B$28,MAX(0,MIN(Settings!$B$16,IF(I13="",Settings!$B$16,I13)))/Settings!$B$15,1),"")</f>
        <v/>
      </c>
      <c r="O13" s="35" t="str">
        <f aca="false">IF(AND(N($M13)&gt;0,UPPER($K13)&lt;&gt;"N"),IF(Settings!$B$28,MAX(0,MIN(Settings!$B$17,IF(J13="",Settings!$B$17,J13)))/Settings!$B$15,0),"")</f>
        <v/>
      </c>
      <c r="P13" s="34" t="str">
        <f aca="false">IF(N13="","",ROUND(IF(Settings!$B$27,MIN($M13,Settings!$B$29),$M13)*N13,0))</f>
        <v/>
      </c>
      <c r="Q13" s="34" t="str">
        <f aca="false">IF(N13="","",ROUND(IF(Settings!$B$27,MIN($M13,Settings!$B$30),$M13)*O13,0))</f>
        <v/>
      </c>
      <c r="R13" s="34" t="str">
        <f aca="false">IF(N13="","",P13+Q13)</f>
        <v/>
      </c>
      <c r="S13" s="34" t="str">
        <f aca="false">IF(N13="","",ROUND(MIN($M13,Settings!$B$29)*N13,0)+ROUND(MIN($M13,Settings!$B$30)*O13,0))</f>
        <v/>
      </c>
      <c r="T13" s="34" t="str">
        <f aca="false">IF(N13="","",IF(UPPER(L13)="N",0,S13))</f>
        <v/>
      </c>
      <c r="U13" s="25" t="str">
        <f aca="false">IF(N13="","",ROUND(R13*Settings!$B$18,0))</f>
        <v/>
      </c>
      <c r="V13" s="25" t="str">
        <f aca="false">IF(N13="","",ROUND(R13*Settings!$B$19,0)-X13)</f>
        <v/>
      </c>
      <c r="W13" s="25" t="str">
        <f aca="false">IF(N13="","",IF(Settings!$B$31,ROUND(R13*Settings!$B$22,0),0))</f>
        <v/>
      </c>
      <c r="X13" s="25" t="str">
        <f aca="false">IF(N13="","",MIN(ROUND(T13*Settings!$B$20,0),ROUND(R13*Settings!$B$19,0)))</f>
        <v/>
      </c>
      <c r="Y13" s="25" t="str">
        <f aca="false">IF(N13="","",IF(Settings!$B$31,ROUND(S13*Settings!$B$21,0),0))</f>
        <v/>
      </c>
      <c r="Z13" s="25" t="str">
        <f aca="false">IF(N13="","",U13+V13+X13+W13+Y13)</f>
        <v/>
      </c>
      <c r="AA13" s="7" t="str">
        <f aca="false">IF(COUNT(C13:H13)=0,"",TRIM(IF(UPPER(K13)="N","Not a PF member, skipped. ","")&amp;IF(AND(UPPER(K13)&lt;&gt;"N",N(M13)&lt;=0),"PF wage is zero, skipped. ","")&amp;IF(AND(UPPER(K13)&lt;&gt;"N",N(M13)&gt;0,UPPER(L13)="N"),"Pension not applicable, whole 12% goes to EPF. ","")&amp;IF(AND(ISNUMBER(H13),ABS(SUM(C13:G13)-N(H13))&gt;1),"Heads in the file add up to "&amp;SUM(C13:G13)&amp;", Gross is "&amp;H13&amp;" (a pay head may be missing). ","")&amp;IF(AND(Settings!$B$32,N(H13)&gt;0,ISNUMBER(M13),N(M13)&lt;H13*0.5-0.5),"50% check: PF wage is "&amp;TEXT(M13/H13,"0%")&amp;" of gross. ","")&amp;IF(AND(N(M13)&gt;0,UPPER(K13)&lt;&gt;"N",N(N13)+N(O13)=0),"No days to count. ","")))</f>
        <v/>
      </c>
    </row>
    <row r="14" customFormat="false" ht="15" hidden="false" customHeight="false" outlineLevel="0" collapsed="false">
      <c r="A14" s="14"/>
      <c r="B14" s="14"/>
      <c r="C14" s="17"/>
      <c r="D14" s="17"/>
      <c r="E14" s="17"/>
      <c r="F14" s="17"/>
      <c r="G14" s="17"/>
      <c r="H14" s="17"/>
      <c r="I14" s="14"/>
      <c r="J14" s="14"/>
      <c r="K14" s="14"/>
      <c r="L14" s="14"/>
      <c r="M14" s="34" t="str">
        <f aca="false">IF(COUNT(C14:H14)=0,"",IFERROR(MAX(0,ROUND(IF(Settings!$B$33,IF(H14="",SUM(C14:G14),H14)-SUMPRODUCT(($C$4:$G$4="Y")*C14:G14),SUMPRODUCT(($C$4:$G$4="Y")*C14:G14)),0)),"Check inputs"))</f>
        <v/>
      </c>
      <c r="N14" s="35" t="str">
        <f aca="false">IF(AND(N($M14)&gt;0,UPPER($K14)&lt;&gt;"N"),IF(Settings!$B$28,MAX(0,MIN(Settings!$B$16,IF(I14="",Settings!$B$16,I14)))/Settings!$B$15,1),"")</f>
        <v/>
      </c>
      <c r="O14" s="35" t="str">
        <f aca="false">IF(AND(N($M14)&gt;0,UPPER($K14)&lt;&gt;"N"),IF(Settings!$B$28,MAX(0,MIN(Settings!$B$17,IF(J14="",Settings!$B$17,J14)))/Settings!$B$15,0),"")</f>
        <v/>
      </c>
      <c r="P14" s="34" t="str">
        <f aca="false">IF(N14="","",ROUND(IF(Settings!$B$27,MIN($M14,Settings!$B$29),$M14)*N14,0))</f>
        <v/>
      </c>
      <c r="Q14" s="34" t="str">
        <f aca="false">IF(N14="","",ROUND(IF(Settings!$B$27,MIN($M14,Settings!$B$30),$M14)*O14,0))</f>
        <v/>
      </c>
      <c r="R14" s="34" t="str">
        <f aca="false">IF(N14="","",P14+Q14)</f>
        <v/>
      </c>
      <c r="S14" s="34" t="str">
        <f aca="false">IF(N14="","",ROUND(MIN($M14,Settings!$B$29)*N14,0)+ROUND(MIN($M14,Settings!$B$30)*O14,0))</f>
        <v/>
      </c>
      <c r="T14" s="34" t="str">
        <f aca="false">IF(N14="","",IF(UPPER(L14)="N",0,S14))</f>
        <v/>
      </c>
      <c r="U14" s="25" t="str">
        <f aca="false">IF(N14="","",ROUND(R14*Settings!$B$18,0))</f>
        <v/>
      </c>
      <c r="V14" s="25" t="str">
        <f aca="false">IF(N14="","",ROUND(R14*Settings!$B$19,0)-X14)</f>
        <v/>
      </c>
      <c r="W14" s="25" t="str">
        <f aca="false">IF(N14="","",IF(Settings!$B$31,ROUND(R14*Settings!$B$22,0),0))</f>
        <v/>
      </c>
      <c r="X14" s="25" t="str">
        <f aca="false">IF(N14="","",MIN(ROUND(T14*Settings!$B$20,0),ROUND(R14*Settings!$B$19,0)))</f>
        <v/>
      </c>
      <c r="Y14" s="25" t="str">
        <f aca="false">IF(N14="","",IF(Settings!$B$31,ROUND(S14*Settings!$B$21,0),0))</f>
        <v/>
      </c>
      <c r="Z14" s="25" t="str">
        <f aca="false">IF(N14="","",U14+V14+X14+W14+Y14)</f>
        <v/>
      </c>
      <c r="AA14" s="7" t="str">
        <f aca="false">IF(COUNT(C14:H14)=0,"",TRIM(IF(UPPER(K14)="N","Not a PF member, skipped. ","")&amp;IF(AND(UPPER(K14)&lt;&gt;"N",N(M14)&lt;=0),"PF wage is zero, skipped. ","")&amp;IF(AND(UPPER(K14)&lt;&gt;"N",N(M14)&gt;0,UPPER(L14)="N"),"Pension not applicable, whole 12% goes to EPF. ","")&amp;IF(AND(ISNUMBER(H14),ABS(SUM(C14:G14)-N(H14))&gt;1),"Heads in the file add up to "&amp;SUM(C14:G14)&amp;", Gross is "&amp;H14&amp;" (a pay head may be missing). ","")&amp;IF(AND(Settings!$B$32,N(H14)&gt;0,ISNUMBER(M14),N(M14)&lt;H14*0.5-0.5),"50% check: PF wage is "&amp;TEXT(M14/H14,"0%")&amp;" of gross. ","")&amp;IF(AND(N(M14)&gt;0,UPPER(K14)&lt;&gt;"N",N(N14)+N(O14)=0),"No days to count. ","")))</f>
        <v/>
      </c>
    </row>
    <row r="15" customFormat="false" ht="15" hidden="false" customHeight="false" outlineLevel="0" collapsed="false">
      <c r="A15" s="14"/>
      <c r="B15" s="14"/>
      <c r="C15" s="17"/>
      <c r="D15" s="17"/>
      <c r="E15" s="17"/>
      <c r="F15" s="17"/>
      <c r="G15" s="17"/>
      <c r="H15" s="17"/>
      <c r="I15" s="14"/>
      <c r="J15" s="14"/>
      <c r="K15" s="14"/>
      <c r="L15" s="14"/>
      <c r="M15" s="34" t="str">
        <f aca="false">IF(COUNT(C15:H15)=0,"",IFERROR(MAX(0,ROUND(IF(Settings!$B$33,IF(H15="",SUM(C15:G15),H15)-SUMPRODUCT(($C$4:$G$4="Y")*C15:G15),SUMPRODUCT(($C$4:$G$4="Y")*C15:G15)),0)),"Check inputs"))</f>
        <v/>
      </c>
      <c r="N15" s="35" t="str">
        <f aca="false">IF(AND(N($M15)&gt;0,UPPER($K15)&lt;&gt;"N"),IF(Settings!$B$28,MAX(0,MIN(Settings!$B$16,IF(I15="",Settings!$B$16,I15)))/Settings!$B$15,1),"")</f>
        <v/>
      </c>
      <c r="O15" s="35" t="str">
        <f aca="false">IF(AND(N($M15)&gt;0,UPPER($K15)&lt;&gt;"N"),IF(Settings!$B$28,MAX(0,MIN(Settings!$B$17,IF(J15="",Settings!$B$17,J15)))/Settings!$B$15,0),"")</f>
        <v/>
      </c>
      <c r="P15" s="34" t="str">
        <f aca="false">IF(N15="","",ROUND(IF(Settings!$B$27,MIN($M15,Settings!$B$29),$M15)*N15,0))</f>
        <v/>
      </c>
      <c r="Q15" s="34" t="str">
        <f aca="false">IF(N15="","",ROUND(IF(Settings!$B$27,MIN($M15,Settings!$B$30),$M15)*O15,0))</f>
        <v/>
      </c>
      <c r="R15" s="34" t="str">
        <f aca="false">IF(N15="","",P15+Q15)</f>
        <v/>
      </c>
      <c r="S15" s="34" t="str">
        <f aca="false">IF(N15="","",ROUND(MIN($M15,Settings!$B$29)*N15,0)+ROUND(MIN($M15,Settings!$B$30)*O15,0))</f>
        <v/>
      </c>
      <c r="T15" s="34" t="str">
        <f aca="false">IF(N15="","",IF(UPPER(L15)="N",0,S15))</f>
        <v/>
      </c>
      <c r="U15" s="25" t="str">
        <f aca="false">IF(N15="","",ROUND(R15*Settings!$B$18,0))</f>
        <v/>
      </c>
      <c r="V15" s="25" t="str">
        <f aca="false">IF(N15="","",ROUND(R15*Settings!$B$19,0)-X15)</f>
        <v/>
      </c>
      <c r="W15" s="25" t="str">
        <f aca="false">IF(N15="","",IF(Settings!$B$31,ROUND(R15*Settings!$B$22,0),0))</f>
        <v/>
      </c>
      <c r="X15" s="25" t="str">
        <f aca="false">IF(N15="","",MIN(ROUND(T15*Settings!$B$20,0),ROUND(R15*Settings!$B$19,0)))</f>
        <v/>
      </c>
      <c r="Y15" s="25" t="str">
        <f aca="false">IF(N15="","",IF(Settings!$B$31,ROUND(S15*Settings!$B$21,0),0))</f>
        <v/>
      </c>
      <c r="Z15" s="25" t="str">
        <f aca="false">IF(N15="","",U15+V15+X15+W15+Y15)</f>
        <v/>
      </c>
      <c r="AA15" s="7" t="str">
        <f aca="false">IF(COUNT(C15:H15)=0,"",TRIM(IF(UPPER(K15)="N","Not a PF member, skipped. ","")&amp;IF(AND(UPPER(K15)&lt;&gt;"N",N(M15)&lt;=0),"PF wage is zero, skipped. ","")&amp;IF(AND(UPPER(K15)&lt;&gt;"N",N(M15)&gt;0,UPPER(L15)="N"),"Pension not applicable, whole 12% goes to EPF. ","")&amp;IF(AND(ISNUMBER(H15),ABS(SUM(C15:G15)-N(H15))&gt;1),"Heads in the file add up to "&amp;SUM(C15:G15)&amp;", Gross is "&amp;H15&amp;" (a pay head may be missing). ","")&amp;IF(AND(Settings!$B$32,N(H15)&gt;0,ISNUMBER(M15),N(M15)&lt;H15*0.5-0.5),"50% check: PF wage is "&amp;TEXT(M15/H15,"0%")&amp;" of gross. ","")&amp;IF(AND(N(M15)&gt;0,UPPER(K15)&lt;&gt;"N",N(N15)+N(O15)=0),"No days to count. ","")))</f>
        <v/>
      </c>
    </row>
    <row r="16" customFormat="false" ht="15" hidden="false" customHeight="false" outlineLevel="0" collapsed="false">
      <c r="A16" s="14"/>
      <c r="B16" s="14"/>
      <c r="C16" s="17"/>
      <c r="D16" s="17"/>
      <c r="E16" s="17"/>
      <c r="F16" s="17"/>
      <c r="G16" s="17"/>
      <c r="H16" s="17"/>
      <c r="I16" s="14"/>
      <c r="J16" s="14"/>
      <c r="K16" s="14"/>
      <c r="L16" s="14"/>
      <c r="M16" s="34" t="str">
        <f aca="false">IF(COUNT(C16:H16)=0,"",IFERROR(MAX(0,ROUND(IF(Settings!$B$33,IF(H16="",SUM(C16:G16),H16)-SUMPRODUCT(($C$4:$G$4="Y")*C16:G16),SUMPRODUCT(($C$4:$G$4="Y")*C16:G16)),0)),"Check inputs"))</f>
        <v/>
      </c>
      <c r="N16" s="35" t="str">
        <f aca="false">IF(AND(N($M16)&gt;0,UPPER($K16)&lt;&gt;"N"),IF(Settings!$B$28,MAX(0,MIN(Settings!$B$16,IF(I16="",Settings!$B$16,I16)))/Settings!$B$15,1),"")</f>
        <v/>
      </c>
      <c r="O16" s="35" t="str">
        <f aca="false">IF(AND(N($M16)&gt;0,UPPER($K16)&lt;&gt;"N"),IF(Settings!$B$28,MAX(0,MIN(Settings!$B$17,IF(J16="",Settings!$B$17,J16)))/Settings!$B$15,0),"")</f>
        <v/>
      </c>
      <c r="P16" s="34" t="str">
        <f aca="false">IF(N16="","",ROUND(IF(Settings!$B$27,MIN($M16,Settings!$B$29),$M16)*N16,0))</f>
        <v/>
      </c>
      <c r="Q16" s="34" t="str">
        <f aca="false">IF(N16="","",ROUND(IF(Settings!$B$27,MIN($M16,Settings!$B$30),$M16)*O16,0))</f>
        <v/>
      </c>
      <c r="R16" s="34" t="str">
        <f aca="false">IF(N16="","",P16+Q16)</f>
        <v/>
      </c>
      <c r="S16" s="34" t="str">
        <f aca="false">IF(N16="","",ROUND(MIN($M16,Settings!$B$29)*N16,0)+ROUND(MIN($M16,Settings!$B$30)*O16,0))</f>
        <v/>
      </c>
      <c r="T16" s="34" t="str">
        <f aca="false">IF(N16="","",IF(UPPER(L16)="N",0,S16))</f>
        <v/>
      </c>
      <c r="U16" s="25" t="str">
        <f aca="false">IF(N16="","",ROUND(R16*Settings!$B$18,0))</f>
        <v/>
      </c>
      <c r="V16" s="25" t="str">
        <f aca="false">IF(N16="","",ROUND(R16*Settings!$B$19,0)-X16)</f>
        <v/>
      </c>
      <c r="W16" s="25" t="str">
        <f aca="false">IF(N16="","",IF(Settings!$B$31,ROUND(R16*Settings!$B$22,0),0))</f>
        <v/>
      </c>
      <c r="X16" s="25" t="str">
        <f aca="false">IF(N16="","",MIN(ROUND(T16*Settings!$B$20,0),ROUND(R16*Settings!$B$19,0)))</f>
        <v/>
      </c>
      <c r="Y16" s="25" t="str">
        <f aca="false">IF(N16="","",IF(Settings!$B$31,ROUND(S16*Settings!$B$21,0),0))</f>
        <v/>
      </c>
      <c r="Z16" s="25" t="str">
        <f aca="false">IF(N16="","",U16+V16+X16+W16+Y16)</f>
        <v/>
      </c>
      <c r="AA16" s="7" t="str">
        <f aca="false">IF(COUNT(C16:H16)=0,"",TRIM(IF(UPPER(K16)="N","Not a PF member, skipped. ","")&amp;IF(AND(UPPER(K16)&lt;&gt;"N",N(M16)&lt;=0),"PF wage is zero, skipped. ","")&amp;IF(AND(UPPER(K16)&lt;&gt;"N",N(M16)&gt;0,UPPER(L16)="N"),"Pension not applicable, whole 12% goes to EPF. ","")&amp;IF(AND(ISNUMBER(H16),ABS(SUM(C16:G16)-N(H16))&gt;1),"Heads in the file add up to "&amp;SUM(C16:G16)&amp;", Gross is "&amp;H16&amp;" (a pay head may be missing). ","")&amp;IF(AND(Settings!$B$32,N(H16)&gt;0,ISNUMBER(M16),N(M16)&lt;H16*0.5-0.5),"50% check: PF wage is "&amp;TEXT(M16/H16,"0%")&amp;" of gross. ","")&amp;IF(AND(N(M16)&gt;0,UPPER(K16)&lt;&gt;"N",N(N16)+N(O16)=0),"No days to count. ","")))</f>
        <v/>
      </c>
    </row>
    <row r="17" customFormat="false" ht="15" hidden="false" customHeight="false" outlineLevel="0" collapsed="false">
      <c r="A17" s="14"/>
      <c r="B17" s="14"/>
      <c r="C17" s="17"/>
      <c r="D17" s="17"/>
      <c r="E17" s="17"/>
      <c r="F17" s="17"/>
      <c r="G17" s="17"/>
      <c r="H17" s="17"/>
      <c r="I17" s="14"/>
      <c r="J17" s="14"/>
      <c r="K17" s="14"/>
      <c r="L17" s="14"/>
      <c r="M17" s="34" t="str">
        <f aca="false">IF(COUNT(C17:H17)=0,"",IFERROR(MAX(0,ROUND(IF(Settings!$B$33,IF(H17="",SUM(C17:G17),H17)-SUMPRODUCT(($C$4:$G$4="Y")*C17:G17),SUMPRODUCT(($C$4:$G$4="Y")*C17:G17)),0)),"Check inputs"))</f>
        <v/>
      </c>
      <c r="N17" s="35" t="str">
        <f aca="false">IF(AND(N($M17)&gt;0,UPPER($K17)&lt;&gt;"N"),IF(Settings!$B$28,MAX(0,MIN(Settings!$B$16,IF(I17="",Settings!$B$16,I17)))/Settings!$B$15,1),"")</f>
        <v/>
      </c>
      <c r="O17" s="35" t="str">
        <f aca="false">IF(AND(N($M17)&gt;0,UPPER($K17)&lt;&gt;"N"),IF(Settings!$B$28,MAX(0,MIN(Settings!$B$17,IF(J17="",Settings!$B$17,J17)))/Settings!$B$15,0),"")</f>
        <v/>
      </c>
      <c r="P17" s="34" t="str">
        <f aca="false">IF(N17="","",ROUND(IF(Settings!$B$27,MIN($M17,Settings!$B$29),$M17)*N17,0))</f>
        <v/>
      </c>
      <c r="Q17" s="34" t="str">
        <f aca="false">IF(N17="","",ROUND(IF(Settings!$B$27,MIN($M17,Settings!$B$30),$M17)*O17,0))</f>
        <v/>
      </c>
      <c r="R17" s="34" t="str">
        <f aca="false">IF(N17="","",P17+Q17)</f>
        <v/>
      </c>
      <c r="S17" s="34" t="str">
        <f aca="false">IF(N17="","",ROUND(MIN($M17,Settings!$B$29)*N17,0)+ROUND(MIN($M17,Settings!$B$30)*O17,0))</f>
        <v/>
      </c>
      <c r="T17" s="34" t="str">
        <f aca="false">IF(N17="","",IF(UPPER(L17)="N",0,S17))</f>
        <v/>
      </c>
      <c r="U17" s="25" t="str">
        <f aca="false">IF(N17="","",ROUND(R17*Settings!$B$18,0))</f>
        <v/>
      </c>
      <c r="V17" s="25" t="str">
        <f aca="false">IF(N17="","",ROUND(R17*Settings!$B$19,0)-X17)</f>
        <v/>
      </c>
      <c r="W17" s="25" t="str">
        <f aca="false">IF(N17="","",IF(Settings!$B$31,ROUND(R17*Settings!$B$22,0),0))</f>
        <v/>
      </c>
      <c r="X17" s="25" t="str">
        <f aca="false">IF(N17="","",MIN(ROUND(T17*Settings!$B$20,0),ROUND(R17*Settings!$B$19,0)))</f>
        <v/>
      </c>
      <c r="Y17" s="25" t="str">
        <f aca="false">IF(N17="","",IF(Settings!$B$31,ROUND(S17*Settings!$B$21,0),0))</f>
        <v/>
      </c>
      <c r="Z17" s="25" t="str">
        <f aca="false">IF(N17="","",U17+V17+X17+W17+Y17)</f>
        <v/>
      </c>
      <c r="AA17" s="7" t="str">
        <f aca="false">IF(COUNT(C17:H17)=0,"",TRIM(IF(UPPER(K17)="N","Not a PF member, skipped. ","")&amp;IF(AND(UPPER(K17)&lt;&gt;"N",N(M17)&lt;=0),"PF wage is zero, skipped. ","")&amp;IF(AND(UPPER(K17)&lt;&gt;"N",N(M17)&gt;0,UPPER(L17)="N"),"Pension not applicable, whole 12% goes to EPF. ","")&amp;IF(AND(ISNUMBER(H17),ABS(SUM(C17:G17)-N(H17))&gt;1),"Heads in the file add up to "&amp;SUM(C17:G17)&amp;", Gross is "&amp;H17&amp;" (a pay head may be missing). ","")&amp;IF(AND(Settings!$B$32,N(H17)&gt;0,ISNUMBER(M17),N(M17)&lt;H17*0.5-0.5),"50% check: PF wage is "&amp;TEXT(M17/H17,"0%")&amp;" of gross. ","")&amp;IF(AND(N(M17)&gt;0,UPPER(K17)&lt;&gt;"N",N(N17)+N(O17)=0),"No days to count. ","")))</f>
        <v/>
      </c>
    </row>
    <row r="18" customFormat="false" ht="15" hidden="false" customHeight="false" outlineLevel="0" collapsed="false">
      <c r="A18" s="14"/>
      <c r="B18" s="14"/>
      <c r="C18" s="17"/>
      <c r="D18" s="17"/>
      <c r="E18" s="17"/>
      <c r="F18" s="17"/>
      <c r="G18" s="17"/>
      <c r="H18" s="17"/>
      <c r="I18" s="14"/>
      <c r="J18" s="14"/>
      <c r="K18" s="14"/>
      <c r="L18" s="14"/>
      <c r="M18" s="34" t="str">
        <f aca="false">IF(COUNT(C18:H18)=0,"",IFERROR(MAX(0,ROUND(IF(Settings!$B$33,IF(H18="",SUM(C18:G18),H18)-SUMPRODUCT(($C$4:$G$4="Y")*C18:G18),SUMPRODUCT(($C$4:$G$4="Y")*C18:G18)),0)),"Check inputs"))</f>
        <v/>
      </c>
      <c r="N18" s="35" t="str">
        <f aca="false">IF(AND(N($M18)&gt;0,UPPER($K18)&lt;&gt;"N"),IF(Settings!$B$28,MAX(0,MIN(Settings!$B$16,IF(I18="",Settings!$B$16,I18)))/Settings!$B$15,1),"")</f>
        <v/>
      </c>
      <c r="O18" s="35" t="str">
        <f aca="false">IF(AND(N($M18)&gt;0,UPPER($K18)&lt;&gt;"N"),IF(Settings!$B$28,MAX(0,MIN(Settings!$B$17,IF(J18="",Settings!$B$17,J18)))/Settings!$B$15,0),"")</f>
        <v/>
      </c>
      <c r="P18" s="34" t="str">
        <f aca="false">IF(N18="","",ROUND(IF(Settings!$B$27,MIN($M18,Settings!$B$29),$M18)*N18,0))</f>
        <v/>
      </c>
      <c r="Q18" s="34" t="str">
        <f aca="false">IF(N18="","",ROUND(IF(Settings!$B$27,MIN($M18,Settings!$B$30),$M18)*O18,0))</f>
        <v/>
      </c>
      <c r="R18" s="34" t="str">
        <f aca="false">IF(N18="","",P18+Q18)</f>
        <v/>
      </c>
      <c r="S18" s="34" t="str">
        <f aca="false">IF(N18="","",ROUND(MIN($M18,Settings!$B$29)*N18,0)+ROUND(MIN($M18,Settings!$B$30)*O18,0))</f>
        <v/>
      </c>
      <c r="T18" s="34" t="str">
        <f aca="false">IF(N18="","",IF(UPPER(L18)="N",0,S18))</f>
        <v/>
      </c>
      <c r="U18" s="25" t="str">
        <f aca="false">IF(N18="","",ROUND(R18*Settings!$B$18,0))</f>
        <v/>
      </c>
      <c r="V18" s="25" t="str">
        <f aca="false">IF(N18="","",ROUND(R18*Settings!$B$19,0)-X18)</f>
        <v/>
      </c>
      <c r="W18" s="25" t="str">
        <f aca="false">IF(N18="","",IF(Settings!$B$31,ROUND(R18*Settings!$B$22,0),0))</f>
        <v/>
      </c>
      <c r="X18" s="25" t="str">
        <f aca="false">IF(N18="","",MIN(ROUND(T18*Settings!$B$20,0),ROUND(R18*Settings!$B$19,0)))</f>
        <v/>
      </c>
      <c r="Y18" s="25" t="str">
        <f aca="false">IF(N18="","",IF(Settings!$B$31,ROUND(S18*Settings!$B$21,0),0))</f>
        <v/>
      </c>
      <c r="Z18" s="25" t="str">
        <f aca="false">IF(N18="","",U18+V18+X18+W18+Y18)</f>
        <v/>
      </c>
      <c r="AA18" s="7" t="str">
        <f aca="false">IF(COUNT(C18:H18)=0,"",TRIM(IF(UPPER(K18)="N","Not a PF member, skipped. ","")&amp;IF(AND(UPPER(K18)&lt;&gt;"N",N(M18)&lt;=0),"PF wage is zero, skipped. ","")&amp;IF(AND(UPPER(K18)&lt;&gt;"N",N(M18)&gt;0,UPPER(L18)="N"),"Pension not applicable, whole 12% goes to EPF. ","")&amp;IF(AND(ISNUMBER(H18),ABS(SUM(C18:G18)-N(H18))&gt;1),"Heads in the file add up to "&amp;SUM(C18:G18)&amp;", Gross is "&amp;H18&amp;" (a pay head may be missing). ","")&amp;IF(AND(Settings!$B$32,N(H18)&gt;0,ISNUMBER(M18),N(M18)&lt;H18*0.5-0.5),"50% check: PF wage is "&amp;TEXT(M18/H18,"0%")&amp;" of gross. ","")&amp;IF(AND(N(M18)&gt;0,UPPER(K18)&lt;&gt;"N",N(N18)+N(O18)=0),"No days to count. ","")))</f>
        <v/>
      </c>
    </row>
    <row r="19" customFormat="false" ht="15" hidden="false" customHeight="false" outlineLevel="0" collapsed="false">
      <c r="A19" s="14"/>
      <c r="B19" s="14"/>
      <c r="C19" s="17"/>
      <c r="D19" s="17"/>
      <c r="E19" s="17"/>
      <c r="F19" s="17"/>
      <c r="G19" s="17"/>
      <c r="H19" s="17"/>
      <c r="I19" s="14"/>
      <c r="J19" s="14"/>
      <c r="K19" s="14"/>
      <c r="L19" s="14"/>
      <c r="M19" s="34" t="str">
        <f aca="false">IF(COUNT(C19:H19)=0,"",IFERROR(MAX(0,ROUND(IF(Settings!$B$33,IF(H19="",SUM(C19:G19),H19)-SUMPRODUCT(($C$4:$G$4="Y")*C19:G19),SUMPRODUCT(($C$4:$G$4="Y")*C19:G19)),0)),"Check inputs"))</f>
        <v/>
      </c>
      <c r="N19" s="35" t="str">
        <f aca="false">IF(AND(N($M19)&gt;0,UPPER($K19)&lt;&gt;"N"),IF(Settings!$B$28,MAX(0,MIN(Settings!$B$16,IF(I19="",Settings!$B$16,I19)))/Settings!$B$15,1),"")</f>
        <v/>
      </c>
      <c r="O19" s="35" t="str">
        <f aca="false">IF(AND(N($M19)&gt;0,UPPER($K19)&lt;&gt;"N"),IF(Settings!$B$28,MAX(0,MIN(Settings!$B$17,IF(J19="",Settings!$B$17,J19)))/Settings!$B$15,0),"")</f>
        <v/>
      </c>
      <c r="P19" s="34" t="str">
        <f aca="false">IF(N19="","",ROUND(IF(Settings!$B$27,MIN($M19,Settings!$B$29),$M19)*N19,0))</f>
        <v/>
      </c>
      <c r="Q19" s="34" t="str">
        <f aca="false">IF(N19="","",ROUND(IF(Settings!$B$27,MIN($M19,Settings!$B$30),$M19)*O19,0))</f>
        <v/>
      </c>
      <c r="R19" s="34" t="str">
        <f aca="false">IF(N19="","",P19+Q19)</f>
        <v/>
      </c>
      <c r="S19" s="34" t="str">
        <f aca="false">IF(N19="","",ROUND(MIN($M19,Settings!$B$29)*N19,0)+ROUND(MIN($M19,Settings!$B$30)*O19,0))</f>
        <v/>
      </c>
      <c r="T19" s="34" t="str">
        <f aca="false">IF(N19="","",IF(UPPER(L19)="N",0,S19))</f>
        <v/>
      </c>
      <c r="U19" s="25" t="str">
        <f aca="false">IF(N19="","",ROUND(R19*Settings!$B$18,0))</f>
        <v/>
      </c>
      <c r="V19" s="25" t="str">
        <f aca="false">IF(N19="","",ROUND(R19*Settings!$B$19,0)-X19)</f>
        <v/>
      </c>
      <c r="W19" s="25" t="str">
        <f aca="false">IF(N19="","",IF(Settings!$B$31,ROUND(R19*Settings!$B$22,0),0))</f>
        <v/>
      </c>
      <c r="X19" s="25" t="str">
        <f aca="false">IF(N19="","",MIN(ROUND(T19*Settings!$B$20,0),ROUND(R19*Settings!$B$19,0)))</f>
        <v/>
      </c>
      <c r="Y19" s="25" t="str">
        <f aca="false">IF(N19="","",IF(Settings!$B$31,ROUND(S19*Settings!$B$21,0),0))</f>
        <v/>
      </c>
      <c r="Z19" s="25" t="str">
        <f aca="false">IF(N19="","",U19+V19+X19+W19+Y19)</f>
        <v/>
      </c>
      <c r="AA19" s="7" t="str">
        <f aca="false">IF(COUNT(C19:H19)=0,"",TRIM(IF(UPPER(K19)="N","Not a PF member, skipped. ","")&amp;IF(AND(UPPER(K19)&lt;&gt;"N",N(M19)&lt;=0),"PF wage is zero, skipped. ","")&amp;IF(AND(UPPER(K19)&lt;&gt;"N",N(M19)&gt;0,UPPER(L19)="N"),"Pension not applicable, whole 12% goes to EPF. ","")&amp;IF(AND(ISNUMBER(H19),ABS(SUM(C19:G19)-N(H19))&gt;1),"Heads in the file add up to "&amp;SUM(C19:G19)&amp;", Gross is "&amp;H19&amp;" (a pay head may be missing). ","")&amp;IF(AND(Settings!$B$32,N(H19)&gt;0,ISNUMBER(M19),N(M19)&lt;H19*0.5-0.5),"50% check: PF wage is "&amp;TEXT(M19/H19,"0%")&amp;" of gross. ","")&amp;IF(AND(N(M19)&gt;0,UPPER(K19)&lt;&gt;"N",N(N19)+N(O19)=0),"No days to count. ","")))</f>
        <v/>
      </c>
    </row>
    <row r="20" customFormat="false" ht="15" hidden="false" customHeight="false" outlineLevel="0" collapsed="false">
      <c r="A20" s="14"/>
      <c r="B20" s="14"/>
      <c r="C20" s="17"/>
      <c r="D20" s="17"/>
      <c r="E20" s="17"/>
      <c r="F20" s="17"/>
      <c r="G20" s="17"/>
      <c r="H20" s="17"/>
      <c r="I20" s="14"/>
      <c r="J20" s="14"/>
      <c r="K20" s="14"/>
      <c r="L20" s="14"/>
      <c r="M20" s="34" t="str">
        <f aca="false">IF(COUNT(C20:H20)=0,"",IFERROR(MAX(0,ROUND(IF(Settings!$B$33,IF(H20="",SUM(C20:G20),H20)-SUMPRODUCT(($C$4:$G$4="Y")*C20:G20),SUMPRODUCT(($C$4:$G$4="Y")*C20:G20)),0)),"Check inputs"))</f>
        <v/>
      </c>
      <c r="N20" s="35" t="str">
        <f aca="false">IF(AND(N($M20)&gt;0,UPPER($K20)&lt;&gt;"N"),IF(Settings!$B$28,MAX(0,MIN(Settings!$B$16,IF(I20="",Settings!$B$16,I20)))/Settings!$B$15,1),"")</f>
        <v/>
      </c>
      <c r="O20" s="35" t="str">
        <f aca="false">IF(AND(N($M20)&gt;0,UPPER($K20)&lt;&gt;"N"),IF(Settings!$B$28,MAX(0,MIN(Settings!$B$17,IF(J20="",Settings!$B$17,J20)))/Settings!$B$15,0),"")</f>
        <v/>
      </c>
      <c r="P20" s="34" t="str">
        <f aca="false">IF(N20="","",ROUND(IF(Settings!$B$27,MIN($M20,Settings!$B$29),$M20)*N20,0))</f>
        <v/>
      </c>
      <c r="Q20" s="34" t="str">
        <f aca="false">IF(N20="","",ROUND(IF(Settings!$B$27,MIN($M20,Settings!$B$30),$M20)*O20,0))</f>
        <v/>
      </c>
      <c r="R20" s="34" t="str">
        <f aca="false">IF(N20="","",P20+Q20)</f>
        <v/>
      </c>
      <c r="S20" s="34" t="str">
        <f aca="false">IF(N20="","",ROUND(MIN($M20,Settings!$B$29)*N20,0)+ROUND(MIN($M20,Settings!$B$30)*O20,0))</f>
        <v/>
      </c>
      <c r="T20" s="34" t="str">
        <f aca="false">IF(N20="","",IF(UPPER(L20)="N",0,S20))</f>
        <v/>
      </c>
      <c r="U20" s="25" t="str">
        <f aca="false">IF(N20="","",ROUND(R20*Settings!$B$18,0))</f>
        <v/>
      </c>
      <c r="V20" s="25" t="str">
        <f aca="false">IF(N20="","",ROUND(R20*Settings!$B$19,0)-X20)</f>
        <v/>
      </c>
      <c r="W20" s="25" t="str">
        <f aca="false">IF(N20="","",IF(Settings!$B$31,ROUND(R20*Settings!$B$22,0),0))</f>
        <v/>
      </c>
      <c r="X20" s="25" t="str">
        <f aca="false">IF(N20="","",MIN(ROUND(T20*Settings!$B$20,0),ROUND(R20*Settings!$B$19,0)))</f>
        <v/>
      </c>
      <c r="Y20" s="25" t="str">
        <f aca="false">IF(N20="","",IF(Settings!$B$31,ROUND(S20*Settings!$B$21,0),0))</f>
        <v/>
      </c>
      <c r="Z20" s="25" t="str">
        <f aca="false">IF(N20="","",U20+V20+X20+W20+Y20)</f>
        <v/>
      </c>
      <c r="AA20" s="7" t="str">
        <f aca="false">IF(COUNT(C20:H20)=0,"",TRIM(IF(UPPER(K20)="N","Not a PF member, skipped. ","")&amp;IF(AND(UPPER(K20)&lt;&gt;"N",N(M20)&lt;=0),"PF wage is zero, skipped. ","")&amp;IF(AND(UPPER(K20)&lt;&gt;"N",N(M20)&gt;0,UPPER(L20)="N"),"Pension not applicable, whole 12% goes to EPF. ","")&amp;IF(AND(ISNUMBER(H20),ABS(SUM(C20:G20)-N(H20))&gt;1),"Heads in the file add up to "&amp;SUM(C20:G20)&amp;", Gross is "&amp;H20&amp;" (a pay head may be missing). ","")&amp;IF(AND(Settings!$B$32,N(H20)&gt;0,ISNUMBER(M20),N(M20)&lt;H20*0.5-0.5),"50% check: PF wage is "&amp;TEXT(M20/H20,"0%")&amp;" of gross. ","")&amp;IF(AND(N(M20)&gt;0,UPPER(K20)&lt;&gt;"N",N(N20)+N(O20)=0),"No days to count. ","")))</f>
        <v/>
      </c>
    </row>
    <row r="21" customFormat="false" ht="15" hidden="false" customHeight="false" outlineLevel="0" collapsed="false">
      <c r="A21" s="14"/>
      <c r="B21" s="14"/>
      <c r="C21" s="17"/>
      <c r="D21" s="17"/>
      <c r="E21" s="17"/>
      <c r="F21" s="17"/>
      <c r="G21" s="17"/>
      <c r="H21" s="17"/>
      <c r="I21" s="14"/>
      <c r="J21" s="14"/>
      <c r="K21" s="14"/>
      <c r="L21" s="14"/>
      <c r="M21" s="34" t="str">
        <f aca="false">IF(COUNT(C21:H21)=0,"",IFERROR(MAX(0,ROUND(IF(Settings!$B$33,IF(H21="",SUM(C21:G21),H21)-SUMPRODUCT(($C$4:$G$4="Y")*C21:G21),SUMPRODUCT(($C$4:$G$4="Y")*C21:G21)),0)),"Check inputs"))</f>
        <v/>
      </c>
      <c r="N21" s="35" t="str">
        <f aca="false">IF(AND(N($M21)&gt;0,UPPER($K21)&lt;&gt;"N"),IF(Settings!$B$28,MAX(0,MIN(Settings!$B$16,IF(I21="",Settings!$B$16,I21)))/Settings!$B$15,1),"")</f>
        <v/>
      </c>
      <c r="O21" s="35" t="str">
        <f aca="false">IF(AND(N($M21)&gt;0,UPPER($K21)&lt;&gt;"N"),IF(Settings!$B$28,MAX(0,MIN(Settings!$B$17,IF(J21="",Settings!$B$17,J21)))/Settings!$B$15,0),"")</f>
        <v/>
      </c>
      <c r="P21" s="34" t="str">
        <f aca="false">IF(N21="","",ROUND(IF(Settings!$B$27,MIN($M21,Settings!$B$29),$M21)*N21,0))</f>
        <v/>
      </c>
      <c r="Q21" s="34" t="str">
        <f aca="false">IF(N21="","",ROUND(IF(Settings!$B$27,MIN($M21,Settings!$B$30),$M21)*O21,0))</f>
        <v/>
      </c>
      <c r="R21" s="34" t="str">
        <f aca="false">IF(N21="","",P21+Q21)</f>
        <v/>
      </c>
      <c r="S21" s="34" t="str">
        <f aca="false">IF(N21="","",ROUND(MIN($M21,Settings!$B$29)*N21,0)+ROUND(MIN($M21,Settings!$B$30)*O21,0))</f>
        <v/>
      </c>
      <c r="T21" s="34" t="str">
        <f aca="false">IF(N21="","",IF(UPPER(L21)="N",0,S21))</f>
        <v/>
      </c>
      <c r="U21" s="25" t="str">
        <f aca="false">IF(N21="","",ROUND(R21*Settings!$B$18,0))</f>
        <v/>
      </c>
      <c r="V21" s="25" t="str">
        <f aca="false">IF(N21="","",ROUND(R21*Settings!$B$19,0)-X21)</f>
        <v/>
      </c>
      <c r="W21" s="25" t="str">
        <f aca="false">IF(N21="","",IF(Settings!$B$31,ROUND(R21*Settings!$B$22,0),0))</f>
        <v/>
      </c>
      <c r="X21" s="25" t="str">
        <f aca="false">IF(N21="","",MIN(ROUND(T21*Settings!$B$20,0),ROUND(R21*Settings!$B$19,0)))</f>
        <v/>
      </c>
      <c r="Y21" s="25" t="str">
        <f aca="false">IF(N21="","",IF(Settings!$B$31,ROUND(S21*Settings!$B$21,0),0))</f>
        <v/>
      </c>
      <c r="Z21" s="25" t="str">
        <f aca="false">IF(N21="","",U21+V21+X21+W21+Y21)</f>
        <v/>
      </c>
      <c r="AA21" s="7" t="str">
        <f aca="false">IF(COUNT(C21:H21)=0,"",TRIM(IF(UPPER(K21)="N","Not a PF member, skipped. ","")&amp;IF(AND(UPPER(K21)&lt;&gt;"N",N(M21)&lt;=0),"PF wage is zero, skipped. ","")&amp;IF(AND(UPPER(K21)&lt;&gt;"N",N(M21)&gt;0,UPPER(L21)="N"),"Pension not applicable, whole 12% goes to EPF. ","")&amp;IF(AND(ISNUMBER(H21),ABS(SUM(C21:G21)-N(H21))&gt;1),"Heads in the file add up to "&amp;SUM(C21:G21)&amp;", Gross is "&amp;H21&amp;" (a pay head may be missing). ","")&amp;IF(AND(Settings!$B$32,N(H21)&gt;0,ISNUMBER(M21),N(M21)&lt;H21*0.5-0.5),"50% check: PF wage is "&amp;TEXT(M21/H21,"0%")&amp;" of gross. ","")&amp;IF(AND(N(M21)&gt;0,UPPER(K21)&lt;&gt;"N",N(N21)+N(O21)=0),"No days to count. ","")))</f>
        <v/>
      </c>
    </row>
    <row r="22" customFormat="false" ht="15" hidden="false" customHeight="false" outlineLevel="0" collapsed="false">
      <c r="A22" s="14"/>
      <c r="B22" s="14"/>
      <c r="C22" s="17"/>
      <c r="D22" s="17"/>
      <c r="E22" s="17"/>
      <c r="F22" s="17"/>
      <c r="G22" s="17"/>
      <c r="H22" s="17"/>
      <c r="I22" s="14"/>
      <c r="J22" s="14"/>
      <c r="K22" s="14"/>
      <c r="L22" s="14"/>
      <c r="M22" s="34" t="str">
        <f aca="false">IF(COUNT(C22:H22)=0,"",IFERROR(MAX(0,ROUND(IF(Settings!$B$33,IF(H22="",SUM(C22:G22),H22)-SUMPRODUCT(($C$4:$G$4="Y")*C22:G22),SUMPRODUCT(($C$4:$G$4="Y")*C22:G22)),0)),"Check inputs"))</f>
        <v/>
      </c>
      <c r="N22" s="35" t="str">
        <f aca="false">IF(AND(N($M22)&gt;0,UPPER($K22)&lt;&gt;"N"),IF(Settings!$B$28,MAX(0,MIN(Settings!$B$16,IF(I22="",Settings!$B$16,I22)))/Settings!$B$15,1),"")</f>
        <v/>
      </c>
      <c r="O22" s="35" t="str">
        <f aca="false">IF(AND(N($M22)&gt;0,UPPER($K22)&lt;&gt;"N"),IF(Settings!$B$28,MAX(0,MIN(Settings!$B$17,IF(J22="",Settings!$B$17,J22)))/Settings!$B$15,0),"")</f>
        <v/>
      </c>
      <c r="P22" s="34" t="str">
        <f aca="false">IF(N22="","",ROUND(IF(Settings!$B$27,MIN($M22,Settings!$B$29),$M22)*N22,0))</f>
        <v/>
      </c>
      <c r="Q22" s="34" t="str">
        <f aca="false">IF(N22="","",ROUND(IF(Settings!$B$27,MIN($M22,Settings!$B$30),$M22)*O22,0))</f>
        <v/>
      </c>
      <c r="R22" s="34" t="str">
        <f aca="false">IF(N22="","",P22+Q22)</f>
        <v/>
      </c>
      <c r="S22" s="34" t="str">
        <f aca="false">IF(N22="","",ROUND(MIN($M22,Settings!$B$29)*N22,0)+ROUND(MIN($M22,Settings!$B$30)*O22,0))</f>
        <v/>
      </c>
      <c r="T22" s="34" t="str">
        <f aca="false">IF(N22="","",IF(UPPER(L22)="N",0,S22))</f>
        <v/>
      </c>
      <c r="U22" s="25" t="str">
        <f aca="false">IF(N22="","",ROUND(R22*Settings!$B$18,0))</f>
        <v/>
      </c>
      <c r="V22" s="25" t="str">
        <f aca="false">IF(N22="","",ROUND(R22*Settings!$B$19,0)-X22)</f>
        <v/>
      </c>
      <c r="W22" s="25" t="str">
        <f aca="false">IF(N22="","",IF(Settings!$B$31,ROUND(R22*Settings!$B$22,0),0))</f>
        <v/>
      </c>
      <c r="X22" s="25" t="str">
        <f aca="false">IF(N22="","",MIN(ROUND(T22*Settings!$B$20,0),ROUND(R22*Settings!$B$19,0)))</f>
        <v/>
      </c>
      <c r="Y22" s="25" t="str">
        <f aca="false">IF(N22="","",IF(Settings!$B$31,ROUND(S22*Settings!$B$21,0),0))</f>
        <v/>
      </c>
      <c r="Z22" s="25" t="str">
        <f aca="false">IF(N22="","",U22+V22+X22+W22+Y22)</f>
        <v/>
      </c>
      <c r="AA22" s="7" t="str">
        <f aca="false">IF(COUNT(C22:H22)=0,"",TRIM(IF(UPPER(K22)="N","Not a PF member, skipped. ","")&amp;IF(AND(UPPER(K22)&lt;&gt;"N",N(M22)&lt;=0),"PF wage is zero, skipped. ","")&amp;IF(AND(UPPER(K22)&lt;&gt;"N",N(M22)&gt;0,UPPER(L22)="N"),"Pension not applicable, whole 12% goes to EPF. ","")&amp;IF(AND(ISNUMBER(H22),ABS(SUM(C22:G22)-N(H22))&gt;1),"Heads in the file add up to "&amp;SUM(C22:G22)&amp;", Gross is "&amp;H22&amp;" (a pay head may be missing). ","")&amp;IF(AND(Settings!$B$32,N(H22)&gt;0,ISNUMBER(M22),N(M22)&lt;H22*0.5-0.5),"50% check: PF wage is "&amp;TEXT(M22/H22,"0%")&amp;" of gross. ","")&amp;IF(AND(N(M22)&gt;0,UPPER(K22)&lt;&gt;"N",N(N22)+N(O22)=0),"No days to count. ","")))</f>
        <v/>
      </c>
    </row>
    <row r="23" customFormat="false" ht="15" hidden="false" customHeight="false" outlineLevel="0" collapsed="false">
      <c r="A23" s="14"/>
      <c r="B23" s="14"/>
      <c r="C23" s="17"/>
      <c r="D23" s="17"/>
      <c r="E23" s="17"/>
      <c r="F23" s="17"/>
      <c r="G23" s="17"/>
      <c r="H23" s="17"/>
      <c r="I23" s="14"/>
      <c r="J23" s="14"/>
      <c r="K23" s="14"/>
      <c r="L23" s="14"/>
      <c r="M23" s="34" t="str">
        <f aca="false">IF(COUNT(C23:H23)=0,"",IFERROR(MAX(0,ROUND(IF(Settings!$B$33,IF(H23="",SUM(C23:G23),H23)-SUMPRODUCT(($C$4:$G$4="Y")*C23:G23),SUMPRODUCT(($C$4:$G$4="Y")*C23:G23)),0)),"Check inputs"))</f>
        <v/>
      </c>
      <c r="N23" s="35" t="str">
        <f aca="false">IF(AND(N($M23)&gt;0,UPPER($K23)&lt;&gt;"N"),IF(Settings!$B$28,MAX(0,MIN(Settings!$B$16,IF(I23="",Settings!$B$16,I23)))/Settings!$B$15,1),"")</f>
        <v/>
      </c>
      <c r="O23" s="35" t="str">
        <f aca="false">IF(AND(N($M23)&gt;0,UPPER($K23)&lt;&gt;"N"),IF(Settings!$B$28,MAX(0,MIN(Settings!$B$17,IF(J23="",Settings!$B$17,J23)))/Settings!$B$15,0),"")</f>
        <v/>
      </c>
      <c r="P23" s="34" t="str">
        <f aca="false">IF(N23="","",ROUND(IF(Settings!$B$27,MIN($M23,Settings!$B$29),$M23)*N23,0))</f>
        <v/>
      </c>
      <c r="Q23" s="34" t="str">
        <f aca="false">IF(N23="","",ROUND(IF(Settings!$B$27,MIN($M23,Settings!$B$30),$M23)*O23,0))</f>
        <v/>
      </c>
      <c r="R23" s="34" t="str">
        <f aca="false">IF(N23="","",P23+Q23)</f>
        <v/>
      </c>
      <c r="S23" s="34" t="str">
        <f aca="false">IF(N23="","",ROUND(MIN($M23,Settings!$B$29)*N23,0)+ROUND(MIN($M23,Settings!$B$30)*O23,0))</f>
        <v/>
      </c>
      <c r="T23" s="34" t="str">
        <f aca="false">IF(N23="","",IF(UPPER(L23)="N",0,S23))</f>
        <v/>
      </c>
      <c r="U23" s="25" t="str">
        <f aca="false">IF(N23="","",ROUND(R23*Settings!$B$18,0))</f>
        <v/>
      </c>
      <c r="V23" s="25" t="str">
        <f aca="false">IF(N23="","",ROUND(R23*Settings!$B$19,0)-X23)</f>
        <v/>
      </c>
      <c r="W23" s="25" t="str">
        <f aca="false">IF(N23="","",IF(Settings!$B$31,ROUND(R23*Settings!$B$22,0),0))</f>
        <v/>
      </c>
      <c r="X23" s="25" t="str">
        <f aca="false">IF(N23="","",MIN(ROUND(T23*Settings!$B$20,0),ROUND(R23*Settings!$B$19,0)))</f>
        <v/>
      </c>
      <c r="Y23" s="25" t="str">
        <f aca="false">IF(N23="","",IF(Settings!$B$31,ROUND(S23*Settings!$B$21,0),0))</f>
        <v/>
      </c>
      <c r="Z23" s="25" t="str">
        <f aca="false">IF(N23="","",U23+V23+X23+W23+Y23)</f>
        <v/>
      </c>
      <c r="AA23" s="7" t="str">
        <f aca="false">IF(COUNT(C23:H23)=0,"",TRIM(IF(UPPER(K23)="N","Not a PF member, skipped. ","")&amp;IF(AND(UPPER(K23)&lt;&gt;"N",N(M23)&lt;=0),"PF wage is zero, skipped. ","")&amp;IF(AND(UPPER(K23)&lt;&gt;"N",N(M23)&gt;0,UPPER(L23)="N"),"Pension not applicable, whole 12% goes to EPF. ","")&amp;IF(AND(ISNUMBER(H23),ABS(SUM(C23:G23)-N(H23))&gt;1),"Heads in the file add up to "&amp;SUM(C23:G23)&amp;", Gross is "&amp;H23&amp;" (a pay head may be missing). ","")&amp;IF(AND(Settings!$B$32,N(H23)&gt;0,ISNUMBER(M23),N(M23)&lt;H23*0.5-0.5),"50% check: PF wage is "&amp;TEXT(M23/H23,"0%")&amp;" of gross. ","")&amp;IF(AND(N(M23)&gt;0,UPPER(K23)&lt;&gt;"N",N(N23)+N(O23)=0),"No days to count. ","")))</f>
        <v/>
      </c>
    </row>
    <row r="24" customFormat="false" ht="15" hidden="false" customHeight="false" outlineLevel="0" collapsed="false">
      <c r="A24" s="14"/>
      <c r="B24" s="14"/>
      <c r="C24" s="17"/>
      <c r="D24" s="17"/>
      <c r="E24" s="17"/>
      <c r="F24" s="17"/>
      <c r="G24" s="17"/>
      <c r="H24" s="17"/>
      <c r="I24" s="14"/>
      <c r="J24" s="14"/>
      <c r="K24" s="14"/>
      <c r="L24" s="14"/>
      <c r="M24" s="34" t="str">
        <f aca="false">IF(COUNT(C24:H24)=0,"",IFERROR(MAX(0,ROUND(IF(Settings!$B$33,IF(H24="",SUM(C24:G24),H24)-SUMPRODUCT(($C$4:$G$4="Y")*C24:G24),SUMPRODUCT(($C$4:$G$4="Y")*C24:G24)),0)),"Check inputs"))</f>
        <v/>
      </c>
      <c r="N24" s="35" t="str">
        <f aca="false">IF(AND(N($M24)&gt;0,UPPER($K24)&lt;&gt;"N"),IF(Settings!$B$28,MAX(0,MIN(Settings!$B$16,IF(I24="",Settings!$B$16,I24)))/Settings!$B$15,1),"")</f>
        <v/>
      </c>
      <c r="O24" s="35" t="str">
        <f aca="false">IF(AND(N($M24)&gt;0,UPPER($K24)&lt;&gt;"N"),IF(Settings!$B$28,MAX(0,MIN(Settings!$B$17,IF(J24="",Settings!$B$17,J24)))/Settings!$B$15,0),"")</f>
        <v/>
      </c>
      <c r="P24" s="34" t="str">
        <f aca="false">IF(N24="","",ROUND(IF(Settings!$B$27,MIN($M24,Settings!$B$29),$M24)*N24,0))</f>
        <v/>
      </c>
      <c r="Q24" s="34" t="str">
        <f aca="false">IF(N24="","",ROUND(IF(Settings!$B$27,MIN($M24,Settings!$B$30),$M24)*O24,0))</f>
        <v/>
      </c>
      <c r="R24" s="34" t="str">
        <f aca="false">IF(N24="","",P24+Q24)</f>
        <v/>
      </c>
      <c r="S24" s="34" t="str">
        <f aca="false">IF(N24="","",ROUND(MIN($M24,Settings!$B$29)*N24,0)+ROUND(MIN($M24,Settings!$B$30)*O24,0))</f>
        <v/>
      </c>
      <c r="T24" s="34" t="str">
        <f aca="false">IF(N24="","",IF(UPPER(L24)="N",0,S24))</f>
        <v/>
      </c>
      <c r="U24" s="25" t="str">
        <f aca="false">IF(N24="","",ROUND(R24*Settings!$B$18,0))</f>
        <v/>
      </c>
      <c r="V24" s="25" t="str">
        <f aca="false">IF(N24="","",ROUND(R24*Settings!$B$19,0)-X24)</f>
        <v/>
      </c>
      <c r="W24" s="25" t="str">
        <f aca="false">IF(N24="","",IF(Settings!$B$31,ROUND(R24*Settings!$B$22,0),0))</f>
        <v/>
      </c>
      <c r="X24" s="25" t="str">
        <f aca="false">IF(N24="","",MIN(ROUND(T24*Settings!$B$20,0),ROUND(R24*Settings!$B$19,0)))</f>
        <v/>
      </c>
      <c r="Y24" s="25" t="str">
        <f aca="false">IF(N24="","",IF(Settings!$B$31,ROUND(S24*Settings!$B$21,0),0))</f>
        <v/>
      </c>
      <c r="Z24" s="25" t="str">
        <f aca="false">IF(N24="","",U24+V24+X24+W24+Y24)</f>
        <v/>
      </c>
      <c r="AA24" s="7" t="str">
        <f aca="false">IF(COUNT(C24:H24)=0,"",TRIM(IF(UPPER(K24)="N","Not a PF member, skipped. ","")&amp;IF(AND(UPPER(K24)&lt;&gt;"N",N(M24)&lt;=0),"PF wage is zero, skipped. ","")&amp;IF(AND(UPPER(K24)&lt;&gt;"N",N(M24)&gt;0,UPPER(L24)="N"),"Pension not applicable, whole 12% goes to EPF. ","")&amp;IF(AND(ISNUMBER(H24),ABS(SUM(C24:G24)-N(H24))&gt;1),"Heads in the file add up to "&amp;SUM(C24:G24)&amp;", Gross is "&amp;H24&amp;" (a pay head may be missing). ","")&amp;IF(AND(Settings!$B$32,N(H24)&gt;0,ISNUMBER(M24),N(M24)&lt;H24*0.5-0.5),"50% check: PF wage is "&amp;TEXT(M24/H24,"0%")&amp;" of gross. ","")&amp;IF(AND(N(M24)&gt;0,UPPER(K24)&lt;&gt;"N",N(N24)+N(O24)=0),"No days to count. ","")))</f>
        <v/>
      </c>
    </row>
    <row r="25" customFormat="false" ht="15" hidden="false" customHeight="false" outlineLevel="0" collapsed="false">
      <c r="A25" s="14"/>
      <c r="B25" s="14"/>
      <c r="C25" s="17"/>
      <c r="D25" s="17"/>
      <c r="E25" s="17"/>
      <c r="F25" s="17"/>
      <c r="G25" s="17"/>
      <c r="H25" s="17"/>
      <c r="I25" s="14"/>
      <c r="J25" s="14"/>
      <c r="K25" s="14"/>
      <c r="L25" s="14"/>
      <c r="M25" s="34" t="str">
        <f aca="false">IF(COUNT(C25:H25)=0,"",IFERROR(MAX(0,ROUND(IF(Settings!$B$33,IF(H25="",SUM(C25:G25),H25)-SUMPRODUCT(($C$4:$G$4="Y")*C25:G25),SUMPRODUCT(($C$4:$G$4="Y")*C25:G25)),0)),"Check inputs"))</f>
        <v/>
      </c>
      <c r="N25" s="35" t="str">
        <f aca="false">IF(AND(N($M25)&gt;0,UPPER($K25)&lt;&gt;"N"),IF(Settings!$B$28,MAX(0,MIN(Settings!$B$16,IF(I25="",Settings!$B$16,I25)))/Settings!$B$15,1),"")</f>
        <v/>
      </c>
      <c r="O25" s="35" t="str">
        <f aca="false">IF(AND(N($M25)&gt;0,UPPER($K25)&lt;&gt;"N"),IF(Settings!$B$28,MAX(0,MIN(Settings!$B$17,IF(J25="",Settings!$B$17,J25)))/Settings!$B$15,0),"")</f>
        <v/>
      </c>
      <c r="P25" s="34" t="str">
        <f aca="false">IF(N25="","",ROUND(IF(Settings!$B$27,MIN($M25,Settings!$B$29),$M25)*N25,0))</f>
        <v/>
      </c>
      <c r="Q25" s="34" t="str">
        <f aca="false">IF(N25="","",ROUND(IF(Settings!$B$27,MIN($M25,Settings!$B$30),$M25)*O25,0))</f>
        <v/>
      </c>
      <c r="R25" s="34" t="str">
        <f aca="false">IF(N25="","",P25+Q25)</f>
        <v/>
      </c>
      <c r="S25" s="34" t="str">
        <f aca="false">IF(N25="","",ROUND(MIN($M25,Settings!$B$29)*N25,0)+ROUND(MIN($M25,Settings!$B$30)*O25,0))</f>
        <v/>
      </c>
      <c r="T25" s="34" t="str">
        <f aca="false">IF(N25="","",IF(UPPER(L25)="N",0,S25))</f>
        <v/>
      </c>
      <c r="U25" s="25" t="str">
        <f aca="false">IF(N25="","",ROUND(R25*Settings!$B$18,0))</f>
        <v/>
      </c>
      <c r="V25" s="25" t="str">
        <f aca="false">IF(N25="","",ROUND(R25*Settings!$B$19,0)-X25)</f>
        <v/>
      </c>
      <c r="W25" s="25" t="str">
        <f aca="false">IF(N25="","",IF(Settings!$B$31,ROUND(R25*Settings!$B$22,0),0))</f>
        <v/>
      </c>
      <c r="X25" s="25" t="str">
        <f aca="false">IF(N25="","",MIN(ROUND(T25*Settings!$B$20,0),ROUND(R25*Settings!$B$19,0)))</f>
        <v/>
      </c>
      <c r="Y25" s="25" t="str">
        <f aca="false">IF(N25="","",IF(Settings!$B$31,ROUND(S25*Settings!$B$21,0),0))</f>
        <v/>
      </c>
      <c r="Z25" s="25" t="str">
        <f aca="false">IF(N25="","",U25+V25+X25+W25+Y25)</f>
        <v/>
      </c>
      <c r="AA25" s="7" t="str">
        <f aca="false">IF(COUNT(C25:H25)=0,"",TRIM(IF(UPPER(K25)="N","Not a PF member, skipped. ","")&amp;IF(AND(UPPER(K25)&lt;&gt;"N",N(M25)&lt;=0),"PF wage is zero, skipped. ","")&amp;IF(AND(UPPER(K25)&lt;&gt;"N",N(M25)&gt;0,UPPER(L25)="N"),"Pension not applicable, whole 12% goes to EPF. ","")&amp;IF(AND(ISNUMBER(H25),ABS(SUM(C25:G25)-N(H25))&gt;1),"Heads in the file add up to "&amp;SUM(C25:G25)&amp;", Gross is "&amp;H25&amp;" (a pay head may be missing). ","")&amp;IF(AND(Settings!$B$32,N(H25)&gt;0,ISNUMBER(M25),N(M25)&lt;H25*0.5-0.5),"50% check: PF wage is "&amp;TEXT(M25/H25,"0%")&amp;" of gross. ","")&amp;IF(AND(N(M25)&gt;0,UPPER(K25)&lt;&gt;"N",N(N25)+N(O25)=0),"No days to count. ","")))</f>
        <v/>
      </c>
    </row>
    <row r="26" customFormat="false" ht="15" hidden="false" customHeight="false" outlineLevel="0" collapsed="false">
      <c r="A26" s="14"/>
      <c r="B26" s="14"/>
      <c r="C26" s="17"/>
      <c r="D26" s="17"/>
      <c r="E26" s="17"/>
      <c r="F26" s="17"/>
      <c r="G26" s="17"/>
      <c r="H26" s="17"/>
      <c r="I26" s="14"/>
      <c r="J26" s="14"/>
      <c r="K26" s="14"/>
      <c r="L26" s="14"/>
      <c r="M26" s="34" t="str">
        <f aca="false">IF(COUNT(C26:H26)=0,"",IFERROR(MAX(0,ROUND(IF(Settings!$B$33,IF(H26="",SUM(C26:G26),H26)-SUMPRODUCT(($C$4:$G$4="Y")*C26:G26),SUMPRODUCT(($C$4:$G$4="Y")*C26:G26)),0)),"Check inputs"))</f>
        <v/>
      </c>
      <c r="N26" s="35" t="str">
        <f aca="false">IF(AND(N($M26)&gt;0,UPPER($K26)&lt;&gt;"N"),IF(Settings!$B$28,MAX(0,MIN(Settings!$B$16,IF(I26="",Settings!$B$16,I26)))/Settings!$B$15,1),"")</f>
        <v/>
      </c>
      <c r="O26" s="35" t="str">
        <f aca="false">IF(AND(N($M26)&gt;0,UPPER($K26)&lt;&gt;"N"),IF(Settings!$B$28,MAX(0,MIN(Settings!$B$17,IF(J26="",Settings!$B$17,J26)))/Settings!$B$15,0),"")</f>
        <v/>
      </c>
      <c r="P26" s="34" t="str">
        <f aca="false">IF(N26="","",ROUND(IF(Settings!$B$27,MIN($M26,Settings!$B$29),$M26)*N26,0))</f>
        <v/>
      </c>
      <c r="Q26" s="34" t="str">
        <f aca="false">IF(N26="","",ROUND(IF(Settings!$B$27,MIN($M26,Settings!$B$30),$M26)*O26,0))</f>
        <v/>
      </c>
      <c r="R26" s="34" t="str">
        <f aca="false">IF(N26="","",P26+Q26)</f>
        <v/>
      </c>
      <c r="S26" s="34" t="str">
        <f aca="false">IF(N26="","",ROUND(MIN($M26,Settings!$B$29)*N26,0)+ROUND(MIN($M26,Settings!$B$30)*O26,0))</f>
        <v/>
      </c>
      <c r="T26" s="34" t="str">
        <f aca="false">IF(N26="","",IF(UPPER(L26)="N",0,S26))</f>
        <v/>
      </c>
      <c r="U26" s="25" t="str">
        <f aca="false">IF(N26="","",ROUND(R26*Settings!$B$18,0))</f>
        <v/>
      </c>
      <c r="V26" s="25" t="str">
        <f aca="false">IF(N26="","",ROUND(R26*Settings!$B$19,0)-X26)</f>
        <v/>
      </c>
      <c r="W26" s="25" t="str">
        <f aca="false">IF(N26="","",IF(Settings!$B$31,ROUND(R26*Settings!$B$22,0),0))</f>
        <v/>
      </c>
      <c r="X26" s="25" t="str">
        <f aca="false">IF(N26="","",MIN(ROUND(T26*Settings!$B$20,0),ROUND(R26*Settings!$B$19,0)))</f>
        <v/>
      </c>
      <c r="Y26" s="25" t="str">
        <f aca="false">IF(N26="","",IF(Settings!$B$31,ROUND(S26*Settings!$B$21,0),0))</f>
        <v/>
      </c>
      <c r="Z26" s="25" t="str">
        <f aca="false">IF(N26="","",U26+V26+X26+W26+Y26)</f>
        <v/>
      </c>
      <c r="AA26" s="7" t="str">
        <f aca="false">IF(COUNT(C26:H26)=0,"",TRIM(IF(UPPER(K26)="N","Not a PF member, skipped. ","")&amp;IF(AND(UPPER(K26)&lt;&gt;"N",N(M26)&lt;=0),"PF wage is zero, skipped. ","")&amp;IF(AND(UPPER(K26)&lt;&gt;"N",N(M26)&gt;0,UPPER(L26)="N"),"Pension not applicable, whole 12% goes to EPF. ","")&amp;IF(AND(ISNUMBER(H26),ABS(SUM(C26:G26)-N(H26))&gt;1),"Heads in the file add up to "&amp;SUM(C26:G26)&amp;", Gross is "&amp;H26&amp;" (a pay head may be missing). ","")&amp;IF(AND(Settings!$B$32,N(H26)&gt;0,ISNUMBER(M26),N(M26)&lt;H26*0.5-0.5),"50% check: PF wage is "&amp;TEXT(M26/H26,"0%")&amp;" of gross. ","")&amp;IF(AND(N(M26)&gt;0,UPPER(K26)&lt;&gt;"N",N(N26)+N(O26)=0),"No days to count. ","")))</f>
        <v/>
      </c>
    </row>
    <row r="27" customFormat="false" ht="15" hidden="false" customHeight="false" outlineLevel="0" collapsed="false">
      <c r="A27" s="14"/>
      <c r="B27" s="14"/>
      <c r="C27" s="17"/>
      <c r="D27" s="17"/>
      <c r="E27" s="17"/>
      <c r="F27" s="17"/>
      <c r="G27" s="17"/>
      <c r="H27" s="17"/>
      <c r="I27" s="14"/>
      <c r="J27" s="14"/>
      <c r="K27" s="14"/>
      <c r="L27" s="14"/>
      <c r="M27" s="34" t="str">
        <f aca="false">IF(COUNT(C27:H27)=0,"",IFERROR(MAX(0,ROUND(IF(Settings!$B$33,IF(H27="",SUM(C27:G27),H27)-SUMPRODUCT(($C$4:$G$4="Y")*C27:G27),SUMPRODUCT(($C$4:$G$4="Y")*C27:G27)),0)),"Check inputs"))</f>
        <v/>
      </c>
      <c r="N27" s="35" t="str">
        <f aca="false">IF(AND(N($M27)&gt;0,UPPER($K27)&lt;&gt;"N"),IF(Settings!$B$28,MAX(0,MIN(Settings!$B$16,IF(I27="",Settings!$B$16,I27)))/Settings!$B$15,1),"")</f>
        <v/>
      </c>
      <c r="O27" s="35" t="str">
        <f aca="false">IF(AND(N($M27)&gt;0,UPPER($K27)&lt;&gt;"N"),IF(Settings!$B$28,MAX(0,MIN(Settings!$B$17,IF(J27="",Settings!$B$17,J27)))/Settings!$B$15,0),"")</f>
        <v/>
      </c>
      <c r="P27" s="34" t="str">
        <f aca="false">IF(N27="","",ROUND(IF(Settings!$B$27,MIN($M27,Settings!$B$29),$M27)*N27,0))</f>
        <v/>
      </c>
      <c r="Q27" s="34" t="str">
        <f aca="false">IF(N27="","",ROUND(IF(Settings!$B$27,MIN($M27,Settings!$B$30),$M27)*O27,0))</f>
        <v/>
      </c>
      <c r="R27" s="34" t="str">
        <f aca="false">IF(N27="","",P27+Q27)</f>
        <v/>
      </c>
      <c r="S27" s="34" t="str">
        <f aca="false">IF(N27="","",ROUND(MIN($M27,Settings!$B$29)*N27,0)+ROUND(MIN($M27,Settings!$B$30)*O27,0))</f>
        <v/>
      </c>
      <c r="T27" s="34" t="str">
        <f aca="false">IF(N27="","",IF(UPPER(L27)="N",0,S27))</f>
        <v/>
      </c>
      <c r="U27" s="25" t="str">
        <f aca="false">IF(N27="","",ROUND(R27*Settings!$B$18,0))</f>
        <v/>
      </c>
      <c r="V27" s="25" t="str">
        <f aca="false">IF(N27="","",ROUND(R27*Settings!$B$19,0)-X27)</f>
        <v/>
      </c>
      <c r="W27" s="25" t="str">
        <f aca="false">IF(N27="","",IF(Settings!$B$31,ROUND(R27*Settings!$B$22,0),0))</f>
        <v/>
      </c>
      <c r="X27" s="25" t="str">
        <f aca="false">IF(N27="","",MIN(ROUND(T27*Settings!$B$20,0),ROUND(R27*Settings!$B$19,0)))</f>
        <v/>
      </c>
      <c r="Y27" s="25" t="str">
        <f aca="false">IF(N27="","",IF(Settings!$B$31,ROUND(S27*Settings!$B$21,0),0))</f>
        <v/>
      </c>
      <c r="Z27" s="25" t="str">
        <f aca="false">IF(N27="","",U27+V27+X27+W27+Y27)</f>
        <v/>
      </c>
      <c r="AA27" s="7" t="str">
        <f aca="false">IF(COUNT(C27:H27)=0,"",TRIM(IF(UPPER(K27)="N","Not a PF member, skipped. ","")&amp;IF(AND(UPPER(K27)&lt;&gt;"N",N(M27)&lt;=0),"PF wage is zero, skipped. ","")&amp;IF(AND(UPPER(K27)&lt;&gt;"N",N(M27)&gt;0,UPPER(L27)="N"),"Pension not applicable, whole 12% goes to EPF. ","")&amp;IF(AND(ISNUMBER(H27),ABS(SUM(C27:G27)-N(H27))&gt;1),"Heads in the file add up to "&amp;SUM(C27:G27)&amp;", Gross is "&amp;H27&amp;" (a pay head may be missing). ","")&amp;IF(AND(Settings!$B$32,N(H27)&gt;0,ISNUMBER(M27),N(M27)&lt;H27*0.5-0.5),"50% check: PF wage is "&amp;TEXT(M27/H27,"0%")&amp;" of gross. ","")&amp;IF(AND(N(M27)&gt;0,UPPER(K27)&lt;&gt;"N",N(N27)+N(O27)=0),"No days to count. ","")))</f>
        <v/>
      </c>
    </row>
    <row r="28" customFormat="false" ht="15" hidden="false" customHeight="false" outlineLevel="0" collapsed="false">
      <c r="A28" s="14"/>
      <c r="B28" s="14"/>
      <c r="C28" s="17"/>
      <c r="D28" s="17"/>
      <c r="E28" s="17"/>
      <c r="F28" s="17"/>
      <c r="G28" s="17"/>
      <c r="H28" s="17"/>
      <c r="I28" s="14"/>
      <c r="J28" s="14"/>
      <c r="K28" s="14"/>
      <c r="L28" s="14"/>
      <c r="M28" s="34" t="str">
        <f aca="false">IF(COUNT(C28:H28)=0,"",IFERROR(MAX(0,ROUND(IF(Settings!$B$33,IF(H28="",SUM(C28:G28),H28)-SUMPRODUCT(($C$4:$G$4="Y")*C28:G28),SUMPRODUCT(($C$4:$G$4="Y")*C28:G28)),0)),"Check inputs"))</f>
        <v/>
      </c>
      <c r="N28" s="35" t="str">
        <f aca="false">IF(AND(N($M28)&gt;0,UPPER($K28)&lt;&gt;"N"),IF(Settings!$B$28,MAX(0,MIN(Settings!$B$16,IF(I28="",Settings!$B$16,I28)))/Settings!$B$15,1),"")</f>
        <v/>
      </c>
      <c r="O28" s="35" t="str">
        <f aca="false">IF(AND(N($M28)&gt;0,UPPER($K28)&lt;&gt;"N"),IF(Settings!$B$28,MAX(0,MIN(Settings!$B$17,IF(J28="",Settings!$B$17,J28)))/Settings!$B$15,0),"")</f>
        <v/>
      </c>
      <c r="P28" s="34" t="str">
        <f aca="false">IF(N28="","",ROUND(IF(Settings!$B$27,MIN($M28,Settings!$B$29),$M28)*N28,0))</f>
        <v/>
      </c>
      <c r="Q28" s="34" t="str">
        <f aca="false">IF(N28="","",ROUND(IF(Settings!$B$27,MIN($M28,Settings!$B$30),$M28)*O28,0))</f>
        <v/>
      </c>
      <c r="R28" s="34" t="str">
        <f aca="false">IF(N28="","",P28+Q28)</f>
        <v/>
      </c>
      <c r="S28" s="34" t="str">
        <f aca="false">IF(N28="","",ROUND(MIN($M28,Settings!$B$29)*N28,0)+ROUND(MIN($M28,Settings!$B$30)*O28,0))</f>
        <v/>
      </c>
      <c r="T28" s="34" t="str">
        <f aca="false">IF(N28="","",IF(UPPER(L28)="N",0,S28))</f>
        <v/>
      </c>
      <c r="U28" s="25" t="str">
        <f aca="false">IF(N28="","",ROUND(R28*Settings!$B$18,0))</f>
        <v/>
      </c>
      <c r="V28" s="25" t="str">
        <f aca="false">IF(N28="","",ROUND(R28*Settings!$B$19,0)-X28)</f>
        <v/>
      </c>
      <c r="W28" s="25" t="str">
        <f aca="false">IF(N28="","",IF(Settings!$B$31,ROUND(R28*Settings!$B$22,0),0))</f>
        <v/>
      </c>
      <c r="X28" s="25" t="str">
        <f aca="false">IF(N28="","",MIN(ROUND(T28*Settings!$B$20,0),ROUND(R28*Settings!$B$19,0)))</f>
        <v/>
      </c>
      <c r="Y28" s="25" t="str">
        <f aca="false">IF(N28="","",IF(Settings!$B$31,ROUND(S28*Settings!$B$21,0),0))</f>
        <v/>
      </c>
      <c r="Z28" s="25" t="str">
        <f aca="false">IF(N28="","",U28+V28+X28+W28+Y28)</f>
        <v/>
      </c>
      <c r="AA28" s="7" t="str">
        <f aca="false">IF(COUNT(C28:H28)=0,"",TRIM(IF(UPPER(K28)="N","Not a PF member, skipped. ","")&amp;IF(AND(UPPER(K28)&lt;&gt;"N",N(M28)&lt;=0),"PF wage is zero, skipped. ","")&amp;IF(AND(UPPER(K28)&lt;&gt;"N",N(M28)&gt;0,UPPER(L28)="N"),"Pension not applicable, whole 12% goes to EPF. ","")&amp;IF(AND(ISNUMBER(H28),ABS(SUM(C28:G28)-N(H28))&gt;1),"Heads in the file add up to "&amp;SUM(C28:G28)&amp;", Gross is "&amp;H28&amp;" (a pay head may be missing). ","")&amp;IF(AND(Settings!$B$32,N(H28)&gt;0,ISNUMBER(M28),N(M28)&lt;H28*0.5-0.5),"50% check: PF wage is "&amp;TEXT(M28/H28,"0%")&amp;" of gross. ","")&amp;IF(AND(N(M28)&gt;0,UPPER(K28)&lt;&gt;"N",N(N28)+N(O28)=0),"No days to count. ","")))</f>
        <v/>
      </c>
    </row>
    <row r="29" customFormat="false" ht="15" hidden="false" customHeight="false" outlineLevel="0" collapsed="false">
      <c r="A29" s="14"/>
      <c r="B29" s="14"/>
      <c r="C29" s="17"/>
      <c r="D29" s="17"/>
      <c r="E29" s="17"/>
      <c r="F29" s="17"/>
      <c r="G29" s="17"/>
      <c r="H29" s="17"/>
      <c r="I29" s="14"/>
      <c r="J29" s="14"/>
      <c r="K29" s="14"/>
      <c r="L29" s="14"/>
      <c r="M29" s="34" t="str">
        <f aca="false">IF(COUNT(C29:H29)=0,"",IFERROR(MAX(0,ROUND(IF(Settings!$B$33,IF(H29="",SUM(C29:G29),H29)-SUMPRODUCT(($C$4:$G$4="Y")*C29:G29),SUMPRODUCT(($C$4:$G$4="Y")*C29:G29)),0)),"Check inputs"))</f>
        <v/>
      </c>
      <c r="N29" s="35" t="str">
        <f aca="false">IF(AND(N($M29)&gt;0,UPPER($K29)&lt;&gt;"N"),IF(Settings!$B$28,MAX(0,MIN(Settings!$B$16,IF(I29="",Settings!$B$16,I29)))/Settings!$B$15,1),"")</f>
        <v/>
      </c>
      <c r="O29" s="35" t="str">
        <f aca="false">IF(AND(N($M29)&gt;0,UPPER($K29)&lt;&gt;"N"),IF(Settings!$B$28,MAX(0,MIN(Settings!$B$17,IF(J29="",Settings!$B$17,J29)))/Settings!$B$15,0),"")</f>
        <v/>
      </c>
      <c r="P29" s="34" t="str">
        <f aca="false">IF(N29="","",ROUND(IF(Settings!$B$27,MIN($M29,Settings!$B$29),$M29)*N29,0))</f>
        <v/>
      </c>
      <c r="Q29" s="34" t="str">
        <f aca="false">IF(N29="","",ROUND(IF(Settings!$B$27,MIN($M29,Settings!$B$30),$M29)*O29,0))</f>
        <v/>
      </c>
      <c r="R29" s="34" t="str">
        <f aca="false">IF(N29="","",P29+Q29)</f>
        <v/>
      </c>
      <c r="S29" s="34" t="str">
        <f aca="false">IF(N29="","",ROUND(MIN($M29,Settings!$B$29)*N29,0)+ROUND(MIN($M29,Settings!$B$30)*O29,0))</f>
        <v/>
      </c>
      <c r="T29" s="34" t="str">
        <f aca="false">IF(N29="","",IF(UPPER(L29)="N",0,S29))</f>
        <v/>
      </c>
      <c r="U29" s="25" t="str">
        <f aca="false">IF(N29="","",ROUND(R29*Settings!$B$18,0))</f>
        <v/>
      </c>
      <c r="V29" s="25" t="str">
        <f aca="false">IF(N29="","",ROUND(R29*Settings!$B$19,0)-X29)</f>
        <v/>
      </c>
      <c r="W29" s="25" t="str">
        <f aca="false">IF(N29="","",IF(Settings!$B$31,ROUND(R29*Settings!$B$22,0),0))</f>
        <v/>
      </c>
      <c r="X29" s="25" t="str">
        <f aca="false">IF(N29="","",MIN(ROUND(T29*Settings!$B$20,0),ROUND(R29*Settings!$B$19,0)))</f>
        <v/>
      </c>
      <c r="Y29" s="25" t="str">
        <f aca="false">IF(N29="","",IF(Settings!$B$31,ROUND(S29*Settings!$B$21,0),0))</f>
        <v/>
      </c>
      <c r="Z29" s="25" t="str">
        <f aca="false">IF(N29="","",U29+V29+X29+W29+Y29)</f>
        <v/>
      </c>
      <c r="AA29" s="7" t="str">
        <f aca="false">IF(COUNT(C29:H29)=0,"",TRIM(IF(UPPER(K29)="N","Not a PF member, skipped. ","")&amp;IF(AND(UPPER(K29)&lt;&gt;"N",N(M29)&lt;=0),"PF wage is zero, skipped. ","")&amp;IF(AND(UPPER(K29)&lt;&gt;"N",N(M29)&gt;0,UPPER(L29)="N"),"Pension not applicable, whole 12% goes to EPF. ","")&amp;IF(AND(ISNUMBER(H29),ABS(SUM(C29:G29)-N(H29))&gt;1),"Heads in the file add up to "&amp;SUM(C29:G29)&amp;", Gross is "&amp;H29&amp;" (a pay head may be missing). ","")&amp;IF(AND(Settings!$B$32,N(H29)&gt;0,ISNUMBER(M29),N(M29)&lt;H29*0.5-0.5),"50% check: PF wage is "&amp;TEXT(M29/H29,"0%")&amp;" of gross. ","")&amp;IF(AND(N(M29)&gt;0,UPPER(K29)&lt;&gt;"N",N(N29)+N(O29)=0),"No days to count. ","")))</f>
        <v/>
      </c>
    </row>
    <row r="30" customFormat="false" ht="15" hidden="false" customHeight="false" outlineLevel="0" collapsed="false">
      <c r="A30" s="14"/>
      <c r="B30" s="14"/>
      <c r="C30" s="17"/>
      <c r="D30" s="17"/>
      <c r="E30" s="17"/>
      <c r="F30" s="17"/>
      <c r="G30" s="17"/>
      <c r="H30" s="17"/>
      <c r="I30" s="14"/>
      <c r="J30" s="14"/>
      <c r="K30" s="14"/>
      <c r="L30" s="14"/>
      <c r="M30" s="34" t="str">
        <f aca="false">IF(COUNT(C30:H30)=0,"",IFERROR(MAX(0,ROUND(IF(Settings!$B$33,IF(H30="",SUM(C30:G30),H30)-SUMPRODUCT(($C$4:$G$4="Y")*C30:G30),SUMPRODUCT(($C$4:$G$4="Y")*C30:G30)),0)),"Check inputs"))</f>
        <v/>
      </c>
      <c r="N30" s="35" t="str">
        <f aca="false">IF(AND(N($M30)&gt;0,UPPER($K30)&lt;&gt;"N"),IF(Settings!$B$28,MAX(0,MIN(Settings!$B$16,IF(I30="",Settings!$B$16,I30)))/Settings!$B$15,1),"")</f>
        <v/>
      </c>
      <c r="O30" s="35" t="str">
        <f aca="false">IF(AND(N($M30)&gt;0,UPPER($K30)&lt;&gt;"N"),IF(Settings!$B$28,MAX(0,MIN(Settings!$B$17,IF(J30="",Settings!$B$17,J30)))/Settings!$B$15,0),"")</f>
        <v/>
      </c>
      <c r="P30" s="34" t="str">
        <f aca="false">IF(N30="","",ROUND(IF(Settings!$B$27,MIN($M30,Settings!$B$29),$M30)*N30,0))</f>
        <v/>
      </c>
      <c r="Q30" s="34" t="str">
        <f aca="false">IF(N30="","",ROUND(IF(Settings!$B$27,MIN($M30,Settings!$B$30),$M30)*O30,0))</f>
        <v/>
      </c>
      <c r="R30" s="34" t="str">
        <f aca="false">IF(N30="","",P30+Q30)</f>
        <v/>
      </c>
      <c r="S30" s="34" t="str">
        <f aca="false">IF(N30="","",ROUND(MIN($M30,Settings!$B$29)*N30,0)+ROUND(MIN($M30,Settings!$B$30)*O30,0))</f>
        <v/>
      </c>
      <c r="T30" s="34" t="str">
        <f aca="false">IF(N30="","",IF(UPPER(L30)="N",0,S30))</f>
        <v/>
      </c>
      <c r="U30" s="25" t="str">
        <f aca="false">IF(N30="","",ROUND(R30*Settings!$B$18,0))</f>
        <v/>
      </c>
      <c r="V30" s="25" t="str">
        <f aca="false">IF(N30="","",ROUND(R30*Settings!$B$19,0)-X30)</f>
        <v/>
      </c>
      <c r="W30" s="25" t="str">
        <f aca="false">IF(N30="","",IF(Settings!$B$31,ROUND(R30*Settings!$B$22,0),0))</f>
        <v/>
      </c>
      <c r="X30" s="25" t="str">
        <f aca="false">IF(N30="","",MIN(ROUND(T30*Settings!$B$20,0),ROUND(R30*Settings!$B$19,0)))</f>
        <v/>
      </c>
      <c r="Y30" s="25" t="str">
        <f aca="false">IF(N30="","",IF(Settings!$B$31,ROUND(S30*Settings!$B$21,0),0))</f>
        <v/>
      </c>
      <c r="Z30" s="25" t="str">
        <f aca="false">IF(N30="","",U30+V30+X30+W30+Y30)</f>
        <v/>
      </c>
      <c r="AA30" s="7" t="str">
        <f aca="false">IF(COUNT(C30:H30)=0,"",TRIM(IF(UPPER(K30)="N","Not a PF member, skipped. ","")&amp;IF(AND(UPPER(K30)&lt;&gt;"N",N(M30)&lt;=0),"PF wage is zero, skipped. ","")&amp;IF(AND(UPPER(K30)&lt;&gt;"N",N(M30)&gt;0,UPPER(L30)="N"),"Pension not applicable, whole 12% goes to EPF. ","")&amp;IF(AND(ISNUMBER(H30),ABS(SUM(C30:G30)-N(H30))&gt;1),"Heads in the file add up to "&amp;SUM(C30:G30)&amp;", Gross is "&amp;H30&amp;" (a pay head may be missing). ","")&amp;IF(AND(Settings!$B$32,N(H30)&gt;0,ISNUMBER(M30),N(M30)&lt;H30*0.5-0.5),"50% check: PF wage is "&amp;TEXT(M30/H30,"0%")&amp;" of gross. ","")&amp;IF(AND(N(M30)&gt;0,UPPER(K30)&lt;&gt;"N",N(N30)+N(O30)=0),"No days to count. ","")))</f>
        <v/>
      </c>
    </row>
    <row r="31" customFormat="false" ht="15" hidden="false" customHeight="false" outlineLevel="0" collapsed="false">
      <c r="A31" s="14"/>
      <c r="B31" s="14"/>
      <c r="C31" s="17"/>
      <c r="D31" s="17"/>
      <c r="E31" s="17"/>
      <c r="F31" s="17"/>
      <c r="G31" s="17"/>
      <c r="H31" s="17"/>
      <c r="I31" s="14"/>
      <c r="J31" s="14"/>
      <c r="K31" s="14"/>
      <c r="L31" s="14"/>
      <c r="M31" s="34" t="str">
        <f aca="false">IF(COUNT(C31:H31)=0,"",IFERROR(MAX(0,ROUND(IF(Settings!$B$33,IF(H31="",SUM(C31:G31),H31)-SUMPRODUCT(($C$4:$G$4="Y")*C31:G31),SUMPRODUCT(($C$4:$G$4="Y")*C31:G31)),0)),"Check inputs"))</f>
        <v/>
      </c>
      <c r="N31" s="35" t="str">
        <f aca="false">IF(AND(N($M31)&gt;0,UPPER($K31)&lt;&gt;"N"),IF(Settings!$B$28,MAX(0,MIN(Settings!$B$16,IF(I31="",Settings!$B$16,I31)))/Settings!$B$15,1),"")</f>
        <v/>
      </c>
      <c r="O31" s="35" t="str">
        <f aca="false">IF(AND(N($M31)&gt;0,UPPER($K31)&lt;&gt;"N"),IF(Settings!$B$28,MAX(0,MIN(Settings!$B$17,IF(J31="",Settings!$B$17,J31)))/Settings!$B$15,0),"")</f>
        <v/>
      </c>
      <c r="P31" s="34" t="str">
        <f aca="false">IF(N31="","",ROUND(IF(Settings!$B$27,MIN($M31,Settings!$B$29),$M31)*N31,0))</f>
        <v/>
      </c>
      <c r="Q31" s="34" t="str">
        <f aca="false">IF(N31="","",ROUND(IF(Settings!$B$27,MIN($M31,Settings!$B$30),$M31)*O31,0))</f>
        <v/>
      </c>
      <c r="R31" s="34" t="str">
        <f aca="false">IF(N31="","",P31+Q31)</f>
        <v/>
      </c>
      <c r="S31" s="34" t="str">
        <f aca="false">IF(N31="","",ROUND(MIN($M31,Settings!$B$29)*N31,0)+ROUND(MIN($M31,Settings!$B$30)*O31,0))</f>
        <v/>
      </c>
      <c r="T31" s="34" t="str">
        <f aca="false">IF(N31="","",IF(UPPER(L31)="N",0,S31))</f>
        <v/>
      </c>
      <c r="U31" s="25" t="str">
        <f aca="false">IF(N31="","",ROUND(R31*Settings!$B$18,0))</f>
        <v/>
      </c>
      <c r="V31" s="25" t="str">
        <f aca="false">IF(N31="","",ROUND(R31*Settings!$B$19,0)-X31)</f>
        <v/>
      </c>
      <c r="W31" s="25" t="str">
        <f aca="false">IF(N31="","",IF(Settings!$B$31,ROUND(R31*Settings!$B$22,0),0))</f>
        <v/>
      </c>
      <c r="X31" s="25" t="str">
        <f aca="false">IF(N31="","",MIN(ROUND(T31*Settings!$B$20,0),ROUND(R31*Settings!$B$19,0)))</f>
        <v/>
      </c>
      <c r="Y31" s="25" t="str">
        <f aca="false">IF(N31="","",IF(Settings!$B$31,ROUND(S31*Settings!$B$21,0),0))</f>
        <v/>
      </c>
      <c r="Z31" s="25" t="str">
        <f aca="false">IF(N31="","",U31+V31+X31+W31+Y31)</f>
        <v/>
      </c>
      <c r="AA31" s="7" t="str">
        <f aca="false">IF(COUNT(C31:H31)=0,"",TRIM(IF(UPPER(K31)="N","Not a PF member, skipped. ","")&amp;IF(AND(UPPER(K31)&lt;&gt;"N",N(M31)&lt;=0),"PF wage is zero, skipped. ","")&amp;IF(AND(UPPER(K31)&lt;&gt;"N",N(M31)&gt;0,UPPER(L31)="N"),"Pension not applicable, whole 12% goes to EPF. ","")&amp;IF(AND(ISNUMBER(H31),ABS(SUM(C31:G31)-N(H31))&gt;1),"Heads in the file add up to "&amp;SUM(C31:G31)&amp;", Gross is "&amp;H31&amp;" (a pay head may be missing). ","")&amp;IF(AND(Settings!$B$32,N(H31)&gt;0,ISNUMBER(M31),N(M31)&lt;H31*0.5-0.5),"50% check: PF wage is "&amp;TEXT(M31/H31,"0%")&amp;" of gross. ","")&amp;IF(AND(N(M31)&gt;0,UPPER(K31)&lt;&gt;"N",N(N31)+N(O31)=0),"No days to count. ","")))</f>
        <v/>
      </c>
    </row>
    <row r="32" customFormat="false" ht="15" hidden="false" customHeight="false" outlineLevel="0" collapsed="false">
      <c r="A32" s="14"/>
      <c r="B32" s="14"/>
      <c r="C32" s="17"/>
      <c r="D32" s="17"/>
      <c r="E32" s="17"/>
      <c r="F32" s="17"/>
      <c r="G32" s="17"/>
      <c r="H32" s="17"/>
      <c r="I32" s="14"/>
      <c r="J32" s="14"/>
      <c r="K32" s="14"/>
      <c r="L32" s="14"/>
      <c r="M32" s="34" t="str">
        <f aca="false">IF(COUNT(C32:H32)=0,"",IFERROR(MAX(0,ROUND(IF(Settings!$B$33,IF(H32="",SUM(C32:G32),H32)-SUMPRODUCT(($C$4:$G$4="Y")*C32:G32),SUMPRODUCT(($C$4:$G$4="Y")*C32:G32)),0)),"Check inputs"))</f>
        <v/>
      </c>
      <c r="N32" s="35" t="str">
        <f aca="false">IF(AND(N($M32)&gt;0,UPPER($K32)&lt;&gt;"N"),IF(Settings!$B$28,MAX(0,MIN(Settings!$B$16,IF(I32="",Settings!$B$16,I32)))/Settings!$B$15,1),"")</f>
        <v/>
      </c>
      <c r="O32" s="35" t="str">
        <f aca="false">IF(AND(N($M32)&gt;0,UPPER($K32)&lt;&gt;"N"),IF(Settings!$B$28,MAX(0,MIN(Settings!$B$17,IF(J32="",Settings!$B$17,J32)))/Settings!$B$15,0),"")</f>
        <v/>
      </c>
      <c r="P32" s="34" t="str">
        <f aca="false">IF(N32="","",ROUND(IF(Settings!$B$27,MIN($M32,Settings!$B$29),$M32)*N32,0))</f>
        <v/>
      </c>
      <c r="Q32" s="34" t="str">
        <f aca="false">IF(N32="","",ROUND(IF(Settings!$B$27,MIN($M32,Settings!$B$30),$M32)*O32,0))</f>
        <v/>
      </c>
      <c r="R32" s="34" t="str">
        <f aca="false">IF(N32="","",P32+Q32)</f>
        <v/>
      </c>
      <c r="S32" s="34" t="str">
        <f aca="false">IF(N32="","",ROUND(MIN($M32,Settings!$B$29)*N32,0)+ROUND(MIN($M32,Settings!$B$30)*O32,0))</f>
        <v/>
      </c>
      <c r="T32" s="34" t="str">
        <f aca="false">IF(N32="","",IF(UPPER(L32)="N",0,S32))</f>
        <v/>
      </c>
      <c r="U32" s="25" t="str">
        <f aca="false">IF(N32="","",ROUND(R32*Settings!$B$18,0))</f>
        <v/>
      </c>
      <c r="V32" s="25" t="str">
        <f aca="false">IF(N32="","",ROUND(R32*Settings!$B$19,0)-X32)</f>
        <v/>
      </c>
      <c r="W32" s="25" t="str">
        <f aca="false">IF(N32="","",IF(Settings!$B$31,ROUND(R32*Settings!$B$22,0),0))</f>
        <v/>
      </c>
      <c r="X32" s="25" t="str">
        <f aca="false">IF(N32="","",MIN(ROUND(T32*Settings!$B$20,0),ROUND(R32*Settings!$B$19,0)))</f>
        <v/>
      </c>
      <c r="Y32" s="25" t="str">
        <f aca="false">IF(N32="","",IF(Settings!$B$31,ROUND(S32*Settings!$B$21,0),0))</f>
        <v/>
      </c>
      <c r="Z32" s="25" t="str">
        <f aca="false">IF(N32="","",U32+V32+X32+W32+Y32)</f>
        <v/>
      </c>
      <c r="AA32" s="7" t="str">
        <f aca="false">IF(COUNT(C32:H32)=0,"",TRIM(IF(UPPER(K32)="N","Not a PF member, skipped. ","")&amp;IF(AND(UPPER(K32)&lt;&gt;"N",N(M32)&lt;=0),"PF wage is zero, skipped. ","")&amp;IF(AND(UPPER(K32)&lt;&gt;"N",N(M32)&gt;0,UPPER(L32)="N"),"Pension not applicable, whole 12% goes to EPF. ","")&amp;IF(AND(ISNUMBER(H32),ABS(SUM(C32:G32)-N(H32))&gt;1),"Heads in the file add up to "&amp;SUM(C32:G32)&amp;", Gross is "&amp;H32&amp;" (a pay head may be missing). ","")&amp;IF(AND(Settings!$B$32,N(H32)&gt;0,ISNUMBER(M32),N(M32)&lt;H32*0.5-0.5),"50% check: PF wage is "&amp;TEXT(M32/H32,"0%")&amp;" of gross. ","")&amp;IF(AND(N(M32)&gt;0,UPPER(K32)&lt;&gt;"N",N(N32)+N(O32)=0),"No days to count. ","")))</f>
        <v/>
      </c>
    </row>
    <row r="33" customFormat="false" ht="15" hidden="false" customHeight="false" outlineLevel="0" collapsed="false">
      <c r="A33" s="14"/>
      <c r="B33" s="14"/>
      <c r="C33" s="17"/>
      <c r="D33" s="17"/>
      <c r="E33" s="17"/>
      <c r="F33" s="17"/>
      <c r="G33" s="17"/>
      <c r="H33" s="17"/>
      <c r="I33" s="14"/>
      <c r="J33" s="14"/>
      <c r="K33" s="14"/>
      <c r="L33" s="14"/>
      <c r="M33" s="34" t="str">
        <f aca="false">IF(COUNT(C33:H33)=0,"",IFERROR(MAX(0,ROUND(IF(Settings!$B$33,IF(H33="",SUM(C33:G33),H33)-SUMPRODUCT(($C$4:$G$4="Y")*C33:G33),SUMPRODUCT(($C$4:$G$4="Y")*C33:G33)),0)),"Check inputs"))</f>
        <v/>
      </c>
      <c r="N33" s="35" t="str">
        <f aca="false">IF(AND(N($M33)&gt;0,UPPER($K33)&lt;&gt;"N"),IF(Settings!$B$28,MAX(0,MIN(Settings!$B$16,IF(I33="",Settings!$B$16,I33)))/Settings!$B$15,1),"")</f>
        <v/>
      </c>
      <c r="O33" s="35" t="str">
        <f aca="false">IF(AND(N($M33)&gt;0,UPPER($K33)&lt;&gt;"N"),IF(Settings!$B$28,MAX(0,MIN(Settings!$B$17,IF(J33="",Settings!$B$17,J33)))/Settings!$B$15,0),"")</f>
        <v/>
      </c>
      <c r="P33" s="34" t="str">
        <f aca="false">IF(N33="","",ROUND(IF(Settings!$B$27,MIN($M33,Settings!$B$29),$M33)*N33,0))</f>
        <v/>
      </c>
      <c r="Q33" s="34" t="str">
        <f aca="false">IF(N33="","",ROUND(IF(Settings!$B$27,MIN($M33,Settings!$B$30),$M33)*O33,0))</f>
        <v/>
      </c>
      <c r="R33" s="34" t="str">
        <f aca="false">IF(N33="","",P33+Q33)</f>
        <v/>
      </c>
      <c r="S33" s="34" t="str">
        <f aca="false">IF(N33="","",ROUND(MIN($M33,Settings!$B$29)*N33,0)+ROUND(MIN($M33,Settings!$B$30)*O33,0))</f>
        <v/>
      </c>
      <c r="T33" s="34" t="str">
        <f aca="false">IF(N33="","",IF(UPPER(L33)="N",0,S33))</f>
        <v/>
      </c>
      <c r="U33" s="25" t="str">
        <f aca="false">IF(N33="","",ROUND(R33*Settings!$B$18,0))</f>
        <v/>
      </c>
      <c r="V33" s="25" t="str">
        <f aca="false">IF(N33="","",ROUND(R33*Settings!$B$19,0)-X33)</f>
        <v/>
      </c>
      <c r="W33" s="25" t="str">
        <f aca="false">IF(N33="","",IF(Settings!$B$31,ROUND(R33*Settings!$B$22,0),0))</f>
        <v/>
      </c>
      <c r="X33" s="25" t="str">
        <f aca="false">IF(N33="","",MIN(ROUND(T33*Settings!$B$20,0),ROUND(R33*Settings!$B$19,0)))</f>
        <v/>
      </c>
      <c r="Y33" s="25" t="str">
        <f aca="false">IF(N33="","",IF(Settings!$B$31,ROUND(S33*Settings!$B$21,0),0))</f>
        <v/>
      </c>
      <c r="Z33" s="25" t="str">
        <f aca="false">IF(N33="","",U33+V33+X33+W33+Y33)</f>
        <v/>
      </c>
      <c r="AA33" s="7" t="str">
        <f aca="false">IF(COUNT(C33:H33)=0,"",TRIM(IF(UPPER(K33)="N","Not a PF member, skipped. ","")&amp;IF(AND(UPPER(K33)&lt;&gt;"N",N(M33)&lt;=0),"PF wage is zero, skipped. ","")&amp;IF(AND(UPPER(K33)&lt;&gt;"N",N(M33)&gt;0,UPPER(L33)="N"),"Pension not applicable, whole 12% goes to EPF. ","")&amp;IF(AND(ISNUMBER(H33),ABS(SUM(C33:G33)-N(H33))&gt;1),"Heads in the file add up to "&amp;SUM(C33:G33)&amp;", Gross is "&amp;H33&amp;" (a pay head may be missing). ","")&amp;IF(AND(Settings!$B$32,N(H33)&gt;0,ISNUMBER(M33),N(M33)&lt;H33*0.5-0.5),"50% check: PF wage is "&amp;TEXT(M33/H33,"0%")&amp;" of gross. ","")&amp;IF(AND(N(M33)&gt;0,UPPER(K33)&lt;&gt;"N",N(N33)+N(O33)=0),"No days to count. ","")))</f>
        <v/>
      </c>
    </row>
    <row r="34" customFormat="false" ht="15" hidden="false" customHeight="false" outlineLevel="0" collapsed="false">
      <c r="A34" s="14"/>
      <c r="B34" s="14"/>
      <c r="C34" s="17"/>
      <c r="D34" s="17"/>
      <c r="E34" s="17"/>
      <c r="F34" s="17"/>
      <c r="G34" s="17"/>
      <c r="H34" s="17"/>
      <c r="I34" s="14"/>
      <c r="J34" s="14"/>
      <c r="K34" s="14"/>
      <c r="L34" s="14"/>
      <c r="M34" s="34" t="str">
        <f aca="false">IF(COUNT(C34:H34)=0,"",IFERROR(MAX(0,ROUND(IF(Settings!$B$33,IF(H34="",SUM(C34:G34),H34)-SUMPRODUCT(($C$4:$G$4="Y")*C34:G34),SUMPRODUCT(($C$4:$G$4="Y")*C34:G34)),0)),"Check inputs"))</f>
        <v/>
      </c>
      <c r="N34" s="35" t="str">
        <f aca="false">IF(AND(N($M34)&gt;0,UPPER($K34)&lt;&gt;"N"),IF(Settings!$B$28,MAX(0,MIN(Settings!$B$16,IF(I34="",Settings!$B$16,I34)))/Settings!$B$15,1),"")</f>
        <v/>
      </c>
      <c r="O34" s="35" t="str">
        <f aca="false">IF(AND(N($M34)&gt;0,UPPER($K34)&lt;&gt;"N"),IF(Settings!$B$28,MAX(0,MIN(Settings!$B$17,IF(J34="",Settings!$B$17,J34)))/Settings!$B$15,0),"")</f>
        <v/>
      </c>
      <c r="P34" s="34" t="str">
        <f aca="false">IF(N34="","",ROUND(IF(Settings!$B$27,MIN($M34,Settings!$B$29),$M34)*N34,0))</f>
        <v/>
      </c>
      <c r="Q34" s="34" t="str">
        <f aca="false">IF(N34="","",ROUND(IF(Settings!$B$27,MIN($M34,Settings!$B$30),$M34)*O34,0))</f>
        <v/>
      </c>
      <c r="R34" s="34" t="str">
        <f aca="false">IF(N34="","",P34+Q34)</f>
        <v/>
      </c>
      <c r="S34" s="34" t="str">
        <f aca="false">IF(N34="","",ROUND(MIN($M34,Settings!$B$29)*N34,0)+ROUND(MIN($M34,Settings!$B$30)*O34,0))</f>
        <v/>
      </c>
      <c r="T34" s="34" t="str">
        <f aca="false">IF(N34="","",IF(UPPER(L34)="N",0,S34))</f>
        <v/>
      </c>
      <c r="U34" s="25" t="str">
        <f aca="false">IF(N34="","",ROUND(R34*Settings!$B$18,0))</f>
        <v/>
      </c>
      <c r="V34" s="25" t="str">
        <f aca="false">IF(N34="","",ROUND(R34*Settings!$B$19,0)-X34)</f>
        <v/>
      </c>
      <c r="W34" s="25" t="str">
        <f aca="false">IF(N34="","",IF(Settings!$B$31,ROUND(R34*Settings!$B$22,0),0))</f>
        <v/>
      </c>
      <c r="X34" s="25" t="str">
        <f aca="false">IF(N34="","",MIN(ROUND(T34*Settings!$B$20,0),ROUND(R34*Settings!$B$19,0)))</f>
        <v/>
      </c>
      <c r="Y34" s="25" t="str">
        <f aca="false">IF(N34="","",IF(Settings!$B$31,ROUND(S34*Settings!$B$21,0),0))</f>
        <v/>
      </c>
      <c r="Z34" s="25" t="str">
        <f aca="false">IF(N34="","",U34+V34+X34+W34+Y34)</f>
        <v/>
      </c>
      <c r="AA34" s="7" t="str">
        <f aca="false">IF(COUNT(C34:H34)=0,"",TRIM(IF(UPPER(K34)="N","Not a PF member, skipped. ","")&amp;IF(AND(UPPER(K34)&lt;&gt;"N",N(M34)&lt;=0),"PF wage is zero, skipped. ","")&amp;IF(AND(UPPER(K34)&lt;&gt;"N",N(M34)&gt;0,UPPER(L34)="N"),"Pension not applicable, whole 12% goes to EPF. ","")&amp;IF(AND(ISNUMBER(H34),ABS(SUM(C34:G34)-N(H34))&gt;1),"Heads in the file add up to "&amp;SUM(C34:G34)&amp;", Gross is "&amp;H34&amp;" (a pay head may be missing). ","")&amp;IF(AND(Settings!$B$32,N(H34)&gt;0,ISNUMBER(M34),N(M34)&lt;H34*0.5-0.5),"50% check: PF wage is "&amp;TEXT(M34/H34,"0%")&amp;" of gross. ","")&amp;IF(AND(N(M34)&gt;0,UPPER(K34)&lt;&gt;"N",N(N34)+N(O34)=0),"No days to count. ","")))</f>
        <v/>
      </c>
    </row>
    <row r="35" customFormat="false" ht="15" hidden="false" customHeight="false" outlineLevel="0" collapsed="false">
      <c r="A35" s="14"/>
      <c r="B35" s="14"/>
      <c r="C35" s="17"/>
      <c r="D35" s="17"/>
      <c r="E35" s="17"/>
      <c r="F35" s="17"/>
      <c r="G35" s="17"/>
      <c r="H35" s="17"/>
      <c r="I35" s="14"/>
      <c r="J35" s="14"/>
      <c r="K35" s="14"/>
      <c r="L35" s="14"/>
      <c r="M35" s="34" t="str">
        <f aca="false">IF(COUNT(C35:H35)=0,"",IFERROR(MAX(0,ROUND(IF(Settings!$B$33,IF(H35="",SUM(C35:G35),H35)-SUMPRODUCT(($C$4:$G$4="Y")*C35:G35),SUMPRODUCT(($C$4:$G$4="Y")*C35:G35)),0)),"Check inputs"))</f>
        <v/>
      </c>
      <c r="N35" s="35" t="str">
        <f aca="false">IF(AND(N($M35)&gt;0,UPPER($K35)&lt;&gt;"N"),IF(Settings!$B$28,MAX(0,MIN(Settings!$B$16,IF(I35="",Settings!$B$16,I35)))/Settings!$B$15,1),"")</f>
        <v/>
      </c>
      <c r="O35" s="35" t="str">
        <f aca="false">IF(AND(N($M35)&gt;0,UPPER($K35)&lt;&gt;"N"),IF(Settings!$B$28,MAX(0,MIN(Settings!$B$17,IF(J35="",Settings!$B$17,J35)))/Settings!$B$15,0),"")</f>
        <v/>
      </c>
      <c r="P35" s="34" t="str">
        <f aca="false">IF(N35="","",ROUND(IF(Settings!$B$27,MIN($M35,Settings!$B$29),$M35)*N35,0))</f>
        <v/>
      </c>
      <c r="Q35" s="34" t="str">
        <f aca="false">IF(N35="","",ROUND(IF(Settings!$B$27,MIN($M35,Settings!$B$30),$M35)*O35,0))</f>
        <v/>
      </c>
      <c r="R35" s="34" t="str">
        <f aca="false">IF(N35="","",P35+Q35)</f>
        <v/>
      </c>
      <c r="S35" s="34" t="str">
        <f aca="false">IF(N35="","",ROUND(MIN($M35,Settings!$B$29)*N35,0)+ROUND(MIN($M35,Settings!$B$30)*O35,0))</f>
        <v/>
      </c>
      <c r="T35" s="34" t="str">
        <f aca="false">IF(N35="","",IF(UPPER(L35)="N",0,S35))</f>
        <v/>
      </c>
      <c r="U35" s="25" t="str">
        <f aca="false">IF(N35="","",ROUND(R35*Settings!$B$18,0))</f>
        <v/>
      </c>
      <c r="V35" s="25" t="str">
        <f aca="false">IF(N35="","",ROUND(R35*Settings!$B$19,0)-X35)</f>
        <v/>
      </c>
      <c r="W35" s="25" t="str">
        <f aca="false">IF(N35="","",IF(Settings!$B$31,ROUND(R35*Settings!$B$22,0),0))</f>
        <v/>
      </c>
      <c r="X35" s="25" t="str">
        <f aca="false">IF(N35="","",MIN(ROUND(T35*Settings!$B$20,0),ROUND(R35*Settings!$B$19,0)))</f>
        <v/>
      </c>
      <c r="Y35" s="25" t="str">
        <f aca="false">IF(N35="","",IF(Settings!$B$31,ROUND(S35*Settings!$B$21,0),0))</f>
        <v/>
      </c>
      <c r="Z35" s="25" t="str">
        <f aca="false">IF(N35="","",U35+V35+X35+W35+Y35)</f>
        <v/>
      </c>
      <c r="AA35" s="7" t="str">
        <f aca="false">IF(COUNT(C35:H35)=0,"",TRIM(IF(UPPER(K35)="N","Not a PF member, skipped. ","")&amp;IF(AND(UPPER(K35)&lt;&gt;"N",N(M35)&lt;=0),"PF wage is zero, skipped. ","")&amp;IF(AND(UPPER(K35)&lt;&gt;"N",N(M35)&gt;0,UPPER(L35)="N"),"Pension not applicable, whole 12% goes to EPF. ","")&amp;IF(AND(ISNUMBER(H35),ABS(SUM(C35:G35)-N(H35))&gt;1),"Heads in the file add up to "&amp;SUM(C35:G35)&amp;", Gross is "&amp;H35&amp;" (a pay head may be missing). ","")&amp;IF(AND(Settings!$B$32,N(H35)&gt;0,ISNUMBER(M35),N(M35)&lt;H35*0.5-0.5),"50% check: PF wage is "&amp;TEXT(M35/H35,"0%")&amp;" of gross. ","")&amp;IF(AND(N(M35)&gt;0,UPPER(K35)&lt;&gt;"N",N(N35)+N(O35)=0),"No days to count. ","")))</f>
        <v/>
      </c>
    </row>
    <row r="36" customFormat="false" ht="15" hidden="false" customHeight="false" outlineLevel="0" collapsed="false">
      <c r="A36" s="14"/>
      <c r="B36" s="14"/>
      <c r="C36" s="17"/>
      <c r="D36" s="17"/>
      <c r="E36" s="17"/>
      <c r="F36" s="17"/>
      <c r="G36" s="17"/>
      <c r="H36" s="17"/>
      <c r="I36" s="14"/>
      <c r="J36" s="14"/>
      <c r="K36" s="14"/>
      <c r="L36" s="14"/>
      <c r="M36" s="34" t="str">
        <f aca="false">IF(COUNT(C36:H36)=0,"",IFERROR(MAX(0,ROUND(IF(Settings!$B$33,IF(H36="",SUM(C36:G36),H36)-SUMPRODUCT(($C$4:$G$4="Y")*C36:G36),SUMPRODUCT(($C$4:$G$4="Y")*C36:G36)),0)),"Check inputs"))</f>
        <v/>
      </c>
      <c r="N36" s="35" t="str">
        <f aca="false">IF(AND(N($M36)&gt;0,UPPER($K36)&lt;&gt;"N"),IF(Settings!$B$28,MAX(0,MIN(Settings!$B$16,IF(I36="",Settings!$B$16,I36)))/Settings!$B$15,1),"")</f>
        <v/>
      </c>
      <c r="O36" s="35" t="str">
        <f aca="false">IF(AND(N($M36)&gt;0,UPPER($K36)&lt;&gt;"N"),IF(Settings!$B$28,MAX(0,MIN(Settings!$B$17,IF(J36="",Settings!$B$17,J36)))/Settings!$B$15,0),"")</f>
        <v/>
      </c>
      <c r="P36" s="34" t="str">
        <f aca="false">IF(N36="","",ROUND(IF(Settings!$B$27,MIN($M36,Settings!$B$29),$M36)*N36,0))</f>
        <v/>
      </c>
      <c r="Q36" s="34" t="str">
        <f aca="false">IF(N36="","",ROUND(IF(Settings!$B$27,MIN($M36,Settings!$B$30),$M36)*O36,0))</f>
        <v/>
      </c>
      <c r="R36" s="34" t="str">
        <f aca="false">IF(N36="","",P36+Q36)</f>
        <v/>
      </c>
      <c r="S36" s="34" t="str">
        <f aca="false">IF(N36="","",ROUND(MIN($M36,Settings!$B$29)*N36,0)+ROUND(MIN($M36,Settings!$B$30)*O36,0))</f>
        <v/>
      </c>
      <c r="T36" s="34" t="str">
        <f aca="false">IF(N36="","",IF(UPPER(L36)="N",0,S36))</f>
        <v/>
      </c>
      <c r="U36" s="25" t="str">
        <f aca="false">IF(N36="","",ROUND(R36*Settings!$B$18,0))</f>
        <v/>
      </c>
      <c r="V36" s="25" t="str">
        <f aca="false">IF(N36="","",ROUND(R36*Settings!$B$19,0)-X36)</f>
        <v/>
      </c>
      <c r="W36" s="25" t="str">
        <f aca="false">IF(N36="","",IF(Settings!$B$31,ROUND(R36*Settings!$B$22,0),0))</f>
        <v/>
      </c>
      <c r="X36" s="25" t="str">
        <f aca="false">IF(N36="","",MIN(ROUND(T36*Settings!$B$20,0),ROUND(R36*Settings!$B$19,0)))</f>
        <v/>
      </c>
      <c r="Y36" s="25" t="str">
        <f aca="false">IF(N36="","",IF(Settings!$B$31,ROUND(S36*Settings!$B$21,0),0))</f>
        <v/>
      </c>
      <c r="Z36" s="25" t="str">
        <f aca="false">IF(N36="","",U36+V36+X36+W36+Y36)</f>
        <v/>
      </c>
      <c r="AA36" s="7" t="str">
        <f aca="false">IF(COUNT(C36:H36)=0,"",TRIM(IF(UPPER(K36)="N","Not a PF member, skipped. ","")&amp;IF(AND(UPPER(K36)&lt;&gt;"N",N(M36)&lt;=0),"PF wage is zero, skipped. ","")&amp;IF(AND(UPPER(K36)&lt;&gt;"N",N(M36)&gt;0,UPPER(L36)="N"),"Pension not applicable, whole 12% goes to EPF. ","")&amp;IF(AND(ISNUMBER(H36),ABS(SUM(C36:G36)-N(H36))&gt;1),"Heads in the file add up to "&amp;SUM(C36:G36)&amp;", Gross is "&amp;H36&amp;" (a pay head may be missing). ","")&amp;IF(AND(Settings!$B$32,N(H36)&gt;0,ISNUMBER(M36),N(M36)&lt;H36*0.5-0.5),"50% check: PF wage is "&amp;TEXT(M36/H36,"0%")&amp;" of gross. ","")&amp;IF(AND(N(M36)&gt;0,UPPER(K36)&lt;&gt;"N",N(N36)+N(O36)=0),"No days to count. ","")))</f>
        <v/>
      </c>
    </row>
    <row r="37" customFormat="false" ht="15" hidden="false" customHeight="false" outlineLevel="0" collapsed="false">
      <c r="A37" s="14"/>
      <c r="B37" s="14"/>
      <c r="C37" s="17"/>
      <c r="D37" s="17"/>
      <c r="E37" s="17"/>
      <c r="F37" s="17"/>
      <c r="G37" s="17"/>
      <c r="H37" s="17"/>
      <c r="I37" s="14"/>
      <c r="J37" s="14"/>
      <c r="K37" s="14"/>
      <c r="L37" s="14"/>
      <c r="M37" s="34" t="str">
        <f aca="false">IF(COUNT(C37:H37)=0,"",IFERROR(MAX(0,ROUND(IF(Settings!$B$33,IF(H37="",SUM(C37:G37),H37)-SUMPRODUCT(($C$4:$G$4="Y")*C37:G37),SUMPRODUCT(($C$4:$G$4="Y")*C37:G37)),0)),"Check inputs"))</f>
        <v/>
      </c>
      <c r="N37" s="35" t="str">
        <f aca="false">IF(AND(N($M37)&gt;0,UPPER($K37)&lt;&gt;"N"),IF(Settings!$B$28,MAX(0,MIN(Settings!$B$16,IF(I37="",Settings!$B$16,I37)))/Settings!$B$15,1),"")</f>
        <v/>
      </c>
      <c r="O37" s="35" t="str">
        <f aca="false">IF(AND(N($M37)&gt;0,UPPER($K37)&lt;&gt;"N"),IF(Settings!$B$28,MAX(0,MIN(Settings!$B$17,IF(J37="",Settings!$B$17,J37)))/Settings!$B$15,0),"")</f>
        <v/>
      </c>
      <c r="P37" s="34" t="str">
        <f aca="false">IF(N37="","",ROUND(IF(Settings!$B$27,MIN($M37,Settings!$B$29),$M37)*N37,0))</f>
        <v/>
      </c>
      <c r="Q37" s="34" t="str">
        <f aca="false">IF(N37="","",ROUND(IF(Settings!$B$27,MIN($M37,Settings!$B$30),$M37)*O37,0))</f>
        <v/>
      </c>
      <c r="R37" s="34" t="str">
        <f aca="false">IF(N37="","",P37+Q37)</f>
        <v/>
      </c>
      <c r="S37" s="34" t="str">
        <f aca="false">IF(N37="","",ROUND(MIN($M37,Settings!$B$29)*N37,0)+ROUND(MIN($M37,Settings!$B$30)*O37,0))</f>
        <v/>
      </c>
      <c r="T37" s="34" t="str">
        <f aca="false">IF(N37="","",IF(UPPER(L37)="N",0,S37))</f>
        <v/>
      </c>
      <c r="U37" s="25" t="str">
        <f aca="false">IF(N37="","",ROUND(R37*Settings!$B$18,0))</f>
        <v/>
      </c>
      <c r="V37" s="25" t="str">
        <f aca="false">IF(N37="","",ROUND(R37*Settings!$B$19,0)-X37)</f>
        <v/>
      </c>
      <c r="W37" s="25" t="str">
        <f aca="false">IF(N37="","",IF(Settings!$B$31,ROUND(R37*Settings!$B$22,0),0))</f>
        <v/>
      </c>
      <c r="X37" s="25" t="str">
        <f aca="false">IF(N37="","",MIN(ROUND(T37*Settings!$B$20,0),ROUND(R37*Settings!$B$19,0)))</f>
        <v/>
      </c>
      <c r="Y37" s="25" t="str">
        <f aca="false">IF(N37="","",IF(Settings!$B$31,ROUND(S37*Settings!$B$21,0),0))</f>
        <v/>
      </c>
      <c r="Z37" s="25" t="str">
        <f aca="false">IF(N37="","",U37+V37+X37+W37+Y37)</f>
        <v/>
      </c>
      <c r="AA37" s="7" t="str">
        <f aca="false">IF(COUNT(C37:H37)=0,"",TRIM(IF(UPPER(K37)="N","Not a PF member, skipped. ","")&amp;IF(AND(UPPER(K37)&lt;&gt;"N",N(M37)&lt;=0),"PF wage is zero, skipped. ","")&amp;IF(AND(UPPER(K37)&lt;&gt;"N",N(M37)&gt;0,UPPER(L37)="N"),"Pension not applicable, whole 12% goes to EPF. ","")&amp;IF(AND(ISNUMBER(H37),ABS(SUM(C37:G37)-N(H37))&gt;1),"Heads in the file add up to "&amp;SUM(C37:G37)&amp;", Gross is "&amp;H37&amp;" (a pay head may be missing). ","")&amp;IF(AND(Settings!$B$32,N(H37)&gt;0,ISNUMBER(M37),N(M37)&lt;H37*0.5-0.5),"50% check: PF wage is "&amp;TEXT(M37/H37,"0%")&amp;" of gross. ","")&amp;IF(AND(N(M37)&gt;0,UPPER(K37)&lt;&gt;"N",N(N37)+N(O37)=0),"No days to count. ","")))</f>
        <v/>
      </c>
    </row>
    <row r="38" customFormat="false" ht="15" hidden="false" customHeight="false" outlineLevel="0" collapsed="false">
      <c r="A38" s="14"/>
      <c r="B38" s="14"/>
      <c r="C38" s="17"/>
      <c r="D38" s="17"/>
      <c r="E38" s="17"/>
      <c r="F38" s="17"/>
      <c r="G38" s="17"/>
      <c r="H38" s="17"/>
      <c r="I38" s="14"/>
      <c r="J38" s="14"/>
      <c r="K38" s="14"/>
      <c r="L38" s="14"/>
      <c r="M38" s="34" t="str">
        <f aca="false">IF(COUNT(C38:H38)=0,"",IFERROR(MAX(0,ROUND(IF(Settings!$B$33,IF(H38="",SUM(C38:G38),H38)-SUMPRODUCT(($C$4:$G$4="Y")*C38:G38),SUMPRODUCT(($C$4:$G$4="Y")*C38:G38)),0)),"Check inputs"))</f>
        <v/>
      </c>
      <c r="N38" s="35" t="str">
        <f aca="false">IF(AND(N($M38)&gt;0,UPPER($K38)&lt;&gt;"N"),IF(Settings!$B$28,MAX(0,MIN(Settings!$B$16,IF(I38="",Settings!$B$16,I38)))/Settings!$B$15,1),"")</f>
        <v/>
      </c>
      <c r="O38" s="35" t="str">
        <f aca="false">IF(AND(N($M38)&gt;0,UPPER($K38)&lt;&gt;"N"),IF(Settings!$B$28,MAX(0,MIN(Settings!$B$17,IF(J38="",Settings!$B$17,J38)))/Settings!$B$15,0),"")</f>
        <v/>
      </c>
      <c r="P38" s="34" t="str">
        <f aca="false">IF(N38="","",ROUND(IF(Settings!$B$27,MIN($M38,Settings!$B$29),$M38)*N38,0))</f>
        <v/>
      </c>
      <c r="Q38" s="34" t="str">
        <f aca="false">IF(N38="","",ROUND(IF(Settings!$B$27,MIN($M38,Settings!$B$30),$M38)*O38,0))</f>
        <v/>
      </c>
      <c r="R38" s="34" t="str">
        <f aca="false">IF(N38="","",P38+Q38)</f>
        <v/>
      </c>
      <c r="S38" s="34" t="str">
        <f aca="false">IF(N38="","",ROUND(MIN($M38,Settings!$B$29)*N38,0)+ROUND(MIN($M38,Settings!$B$30)*O38,0))</f>
        <v/>
      </c>
      <c r="T38" s="34" t="str">
        <f aca="false">IF(N38="","",IF(UPPER(L38)="N",0,S38))</f>
        <v/>
      </c>
      <c r="U38" s="25" t="str">
        <f aca="false">IF(N38="","",ROUND(R38*Settings!$B$18,0))</f>
        <v/>
      </c>
      <c r="V38" s="25" t="str">
        <f aca="false">IF(N38="","",ROUND(R38*Settings!$B$19,0)-X38)</f>
        <v/>
      </c>
      <c r="W38" s="25" t="str">
        <f aca="false">IF(N38="","",IF(Settings!$B$31,ROUND(R38*Settings!$B$22,0),0))</f>
        <v/>
      </c>
      <c r="X38" s="25" t="str">
        <f aca="false">IF(N38="","",MIN(ROUND(T38*Settings!$B$20,0),ROUND(R38*Settings!$B$19,0)))</f>
        <v/>
      </c>
      <c r="Y38" s="25" t="str">
        <f aca="false">IF(N38="","",IF(Settings!$B$31,ROUND(S38*Settings!$B$21,0),0))</f>
        <v/>
      </c>
      <c r="Z38" s="25" t="str">
        <f aca="false">IF(N38="","",U38+V38+X38+W38+Y38)</f>
        <v/>
      </c>
      <c r="AA38" s="7" t="str">
        <f aca="false">IF(COUNT(C38:H38)=0,"",TRIM(IF(UPPER(K38)="N","Not a PF member, skipped. ","")&amp;IF(AND(UPPER(K38)&lt;&gt;"N",N(M38)&lt;=0),"PF wage is zero, skipped. ","")&amp;IF(AND(UPPER(K38)&lt;&gt;"N",N(M38)&gt;0,UPPER(L38)="N"),"Pension not applicable, whole 12% goes to EPF. ","")&amp;IF(AND(ISNUMBER(H38),ABS(SUM(C38:G38)-N(H38))&gt;1),"Heads in the file add up to "&amp;SUM(C38:G38)&amp;", Gross is "&amp;H38&amp;" (a pay head may be missing). ","")&amp;IF(AND(Settings!$B$32,N(H38)&gt;0,ISNUMBER(M38),N(M38)&lt;H38*0.5-0.5),"50% check: PF wage is "&amp;TEXT(M38/H38,"0%")&amp;" of gross. ","")&amp;IF(AND(N(M38)&gt;0,UPPER(K38)&lt;&gt;"N",N(N38)+N(O38)=0),"No days to count. ","")))</f>
        <v/>
      </c>
    </row>
    <row r="39" customFormat="false" ht="15" hidden="false" customHeight="false" outlineLevel="0" collapsed="false">
      <c r="A39" s="14"/>
      <c r="B39" s="14"/>
      <c r="C39" s="17"/>
      <c r="D39" s="17"/>
      <c r="E39" s="17"/>
      <c r="F39" s="17"/>
      <c r="G39" s="17"/>
      <c r="H39" s="17"/>
      <c r="I39" s="14"/>
      <c r="J39" s="14"/>
      <c r="K39" s="14"/>
      <c r="L39" s="14"/>
      <c r="M39" s="34" t="str">
        <f aca="false">IF(COUNT(C39:H39)=0,"",IFERROR(MAX(0,ROUND(IF(Settings!$B$33,IF(H39="",SUM(C39:G39),H39)-SUMPRODUCT(($C$4:$G$4="Y")*C39:G39),SUMPRODUCT(($C$4:$G$4="Y")*C39:G39)),0)),"Check inputs"))</f>
        <v/>
      </c>
      <c r="N39" s="35" t="str">
        <f aca="false">IF(AND(N($M39)&gt;0,UPPER($K39)&lt;&gt;"N"),IF(Settings!$B$28,MAX(0,MIN(Settings!$B$16,IF(I39="",Settings!$B$16,I39)))/Settings!$B$15,1),"")</f>
        <v/>
      </c>
      <c r="O39" s="35" t="str">
        <f aca="false">IF(AND(N($M39)&gt;0,UPPER($K39)&lt;&gt;"N"),IF(Settings!$B$28,MAX(0,MIN(Settings!$B$17,IF(J39="",Settings!$B$17,J39)))/Settings!$B$15,0),"")</f>
        <v/>
      </c>
      <c r="P39" s="34" t="str">
        <f aca="false">IF(N39="","",ROUND(IF(Settings!$B$27,MIN($M39,Settings!$B$29),$M39)*N39,0))</f>
        <v/>
      </c>
      <c r="Q39" s="34" t="str">
        <f aca="false">IF(N39="","",ROUND(IF(Settings!$B$27,MIN($M39,Settings!$B$30),$M39)*O39,0))</f>
        <v/>
      </c>
      <c r="R39" s="34" t="str">
        <f aca="false">IF(N39="","",P39+Q39)</f>
        <v/>
      </c>
      <c r="S39" s="34" t="str">
        <f aca="false">IF(N39="","",ROUND(MIN($M39,Settings!$B$29)*N39,0)+ROUND(MIN($M39,Settings!$B$30)*O39,0))</f>
        <v/>
      </c>
      <c r="T39" s="34" t="str">
        <f aca="false">IF(N39="","",IF(UPPER(L39)="N",0,S39))</f>
        <v/>
      </c>
      <c r="U39" s="25" t="str">
        <f aca="false">IF(N39="","",ROUND(R39*Settings!$B$18,0))</f>
        <v/>
      </c>
      <c r="V39" s="25" t="str">
        <f aca="false">IF(N39="","",ROUND(R39*Settings!$B$19,0)-X39)</f>
        <v/>
      </c>
      <c r="W39" s="25" t="str">
        <f aca="false">IF(N39="","",IF(Settings!$B$31,ROUND(R39*Settings!$B$22,0),0))</f>
        <v/>
      </c>
      <c r="X39" s="25" t="str">
        <f aca="false">IF(N39="","",MIN(ROUND(T39*Settings!$B$20,0),ROUND(R39*Settings!$B$19,0)))</f>
        <v/>
      </c>
      <c r="Y39" s="25" t="str">
        <f aca="false">IF(N39="","",IF(Settings!$B$31,ROUND(S39*Settings!$B$21,0),0))</f>
        <v/>
      </c>
      <c r="Z39" s="25" t="str">
        <f aca="false">IF(N39="","",U39+V39+X39+W39+Y39)</f>
        <v/>
      </c>
      <c r="AA39" s="7" t="str">
        <f aca="false">IF(COUNT(C39:H39)=0,"",TRIM(IF(UPPER(K39)="N","Not a PF member, skipped. ","")&amp;IF(AND(UPPER(K39)&lt;&gt;"N",N(M39)&lt;=0),"PF wage is zero, skipped. ","")&amp;IF(AND(UPPER(K39)&lt;&gt;"N",N(M39)&gt;0,UPPER(L39)="N"),"Pension not applicable, whole 12% goes to EPF. ","")&amp;IF(AND(ISNUMBER(H39),ABS(SUM(C39:G39)-N(H39))&gt;1),"Heads in the file add up to "&amp;SUM(C39:G39)&amp;", Gross is "&amp;H39&amp;" (a pay head may be missing). ","")&amp;IF(AND(Settings!$B$32,N(H39)&gt;0,ISNUMBER(M39),N(M39)&lt;H39*0.5-0.5),"50% check: PF wage is "&amp;TEXT(M39/H39,"0%")&amp;" of gross. ","")&amp;IF(AND(N(M39)&gt;0,UPPER(K39)&lt;&gt;"N",N(N39)+N(O39)=0),"No days to count. ","")))</f>
        <v/>
      </c>
    </row>
    <row r="40" customFormat="false" ht="15" hidden="false" customHeight="false" outlineLevel="0" collapsed="false">
      <c r="A40" s="14"/>
      <c r="B40" s="14"/>
      <c r="C40" s="17"/>
      <c r="D40" s="17"/>
      <c r="E40" s="17"/>
      <c r="F40" s="17"/>
      <c r="G40" s="17"/>
      <c r="H40" s="17"/>
      <c r="I40" s="14"/>
      <c r="J40" s="14"/>
      <c r="K40" s="14"/>
      <c r="L40" s="14"/>
      <c r="M40" s="34" t="str">
        <f aca="false">IF(COUNT(C40:H40)=0,"",IFERROR(MAX(0,ROUND(IF(Settings!$B$33,IF(H40="",SUM(C40:G40),H40)-SUMPRODUCT(($C$4:$G$4="Y")*C40:G40),SUMPRODUCT(($C$4:$G$4="Y")*C40:G40)),0)),"Check inputs"))</f>
        <v/>
      </c>
      <c r="N40" s="35" t="str">
        <f aca="false">IF(AND(N($M40)&gt;0,UPPER($K40)&lt;&gt;"N"),IF(Settings!$B$28,MAX(0,MIN(Settings!$B$16,IF(I40="",Settings!$B$16,I40)))/Settings!$B$15,1),"")</f>
        <v/>
      </c>
      <c r="O40" s="35" t="str">
        <f aca="false">IF(AND(N($M40)&gt;0,UPPER($K40)&lt;&gt;"N"),IF(Settings!$B$28,MAX(0,MIN(Settings!$B$17,IF(J40="",Settings!$B$17,J40)))/Settings!$B$15,0),"")</f>
        <v/>
      </c>
      <c r="P40" s="34" t="str">
        <f aca="false">IF(N40="","",ROUND(IF(Settings!$B$27,MIN($M40,Settings!$B$29),$M40)*N40,0))</f>
        <v/>
      </c>
      <c r="Q40" s="34" t="str">
        <f aca="false">IF(N40="","",ROUND(IF(Settings!$B$27,MIN($M40,Settings!$B$30),$M40)*O40,0))</f>
        <v/>
      </c>
      <c r="R40" s="34" t="str">
        <f aca="false">IF(N40="","",P40+Q40)</f>
        <v/>
      </c>
      <c r="S40" s="34" t="str">
        <f aca="false">IF(N40="","",ROUND(MIN($M40,Settings!$B$29)*N40,0)+ROUND(MIN($M40,Settings!$B$30)*O40,0))</f>
        <v/>
      </c>
      <c r="T40" s="34" t="str">
        <f aca="false">IF(N40="","",IF(UPPER(L40)="N",0,S40))</f>
        <v/>
      </c>
      <c r="U40" s="25" t="str">
        <f aca="false">IF(N40="","",ROUND(R40*Settings!$B$18,0))</f>
        <v/>
      </c>
      <c r="V40" s="25" t="str">
        <f aca="false">IF(N40="","",ROUND(R40*Settings!$B$19,0)-X40)</f>
        <v/>
      </c>
      <c r="W40" s="25" t="str">
        <f aca="false">IF(N40="","",IF(Settings!$B$31,ROUND(R40*Settings!$B$22,0),0))</f>
        <v/>
      </c>
      <c r="X40" s="25" t="str">
        <f aca="false">IF(N40="","",MIN(ROUND(T40*Settings!$B$20,0),ROUND(R40*Settings!$B$19,0)))</f>
        <v/>
      </c>
      <c r="Y40" s="25" t="str">
        <f aca="false">IF(N40="","",IF(Settings!$B$31,ROUND(S40*Settings!$B$21,0),0))</f>
        <v/>
      </c>
      <c r="Z40" s="25" t="str">
        <f aca="false">IF(N40="","",U40+V40+X40+W40+Y40)</f>
        <v/>
      </c>
      <c r="AA40" s="7" t="str">
        <f aca="false">IF(COUNT(C40:H40)=0,"",TRIM(IF(UPPER(K40)="N","Not a PF member, skipped. ","")&amp;IF(AND(UPPER(K40)&lt;&gt;"N",N(M40)&lt;=0),"PF wage is zero, skipped. ","")&amp;IF(AND(UPPER(K40)&lt;&gt;"N",N(M40)&gt;0,UPPER(L40)="N"),"Pension not applicable, whole 12% goes to EPF. ","")&amp;IF(AND(ISNUMBER(H40),ABS(SUM(C40:G40)-N(H40))&gt;1),"Heads in the file add up to "&amp;SUM(C40:G40)&amp;", Gross is "&amp;H40&amp;" (a pay head may be missing). ","")&amp;IF(AND(Settings!$B$32,N(H40)&gt;0,ISNUMBER(M40),N(M40)&lt;H40*0.5-0.5),"50% check: PF wage is "&amp;TEXT(M40/H40,"0%")&amp;" of gross. ","")&amp;IF(AND(N(M40)&gt;0,UPPER(K40)&lt;&gt;"N",N(N40)+N(O40)=0),"No days to count. ","")))</f>
        <v/>
      </c>
    </row>
    <row r="41" customFormat="false" ht="15" hidden="false" customHeight="false" outlineLevel="0" collapsed="false">
      <c r="A41" s="14"/>
      <c r="B41" s="14"/>
      <c r="C41" s="17"/>
      <c r="D41" s="17"/>
      <c r="E41" s="17"/>
      <c r="F41" s="17"/>
      <c r="G41" s="17"/>
      <c r="H41" s="17"/>
      <c r="I41" s="14"/>
      <c r="J41" s="14"/>
      <c r="K41" s="14"/>
      <c r="L41" s="14"/>
      <c r="M41" s="34" t="str">
        <f aca="false">IF(COUNT(C41:H41)=0,"",IFERROR(MAX(0,ROUND(IF(Settings!$B$33,IF(H41="",SUM(C41:G41),H41)-SUMPRODUCT(($C$4:$G$4="Y")*C41:G41),SUMPRODUCT(($C$4:$G$4="Y")*C41:G41)),0)),"Check inputs"))</f>
        <v/>
      </c>
      <c r="N41" s="35" t="str">
        <f aca="false">IF(AND(N($M41)&gt;0,UPPER($K41)&lt;&gt;"N"),IF(Settings!$B$28,MAX(0,MIN(Settings!$B$16,IF(I41="",Settings!$B$16,I41)))/Settings!$B$15,1),"")</f>
        <v/>
      </c>
      <c r="O41" s="35" t="str">
        <f aca="false">IF(AND(N($M41)&gt;0,UPPER($K41)&lt;&gt;"N"),IF(Settings!$B$28,MAX(0,MIN(Settings!$B$17,IF(J41="",Settings!$B$17,J41)))/Settings!$B$15,0),"")</f>
        <v/>
      </c>
      <c r="P41" s="34" t="str">
        <f aca="false">IF(N41="","",ROUND(IF(Settings!$B$27,MIN($M41,Settings!$B$29),$M41)*N41,0))</f>
        <v/>
      </c>
      <c r="Q41" s="34" t="str">
        <f aca="false">IF(N41="","",ROUND(IF(Settings!$B$27,MIN($M41,Settings!$B$30),$M41)*O41,0))</f>
        <v/>
      </c>
      <c r="R41" s="34" t="str">
        <f aca="false">IF(N41="","",P41+Q41)</f>
        <v/>
      </c>
      <c r="S41" s="34" t="str">
        <f aca="false">IF(N41="","",ROUND(MIN($M41,Settings!$B$29)*N41,0)+ROUND(MIN($M41,Settings!$B$30)*O41,0))</f>
        <v/>
      </c>
      <c r="T41" s="34" t="str">
        <f aca="false">IF(N41="","",IF(UPPER(L41)="N",0,S41))</f>
        <v/>
      </c>
      <c r="U41" s="25" t="str">
        <f aca="false">IF(N41="","",ROUND(R41*Settings!$B$18,0))</f>
        <v/>
      </c>
      <c r="V41" s="25" t="str">
        <f aca="false">IF(N41="","",ROUND(R41*Settings!$B$19,0)-X41)</f>
        <v/>
      </c>
      <c r="W41" s="25" t="str">
        <f aca="false">IF(N41="","",IF(Settings!$B$31,ROUND(R41*Settings!$B$22,0),0))</f>
        <v/>
      </c>
      <c r="X41" s="25" t="str">
        <f aca="false">IF(N41="","",MIN(ROUND(T41*Settings!$B$20,0),ROUND(R41*Settings!$B$19,0)))</f>
        <v/>
      </c>
      <c r="Y41" s="25" t="str">
        <f aca="false">IF(N41="","",IF(Settings!$B$31,ROUND(S41*Settings!$B$21,0),0))</f>
        <v/>
      </c>
      <c r="Z41" s="25" t="str">
        <f aca="false">IF(N41="","",U41+V41+X41+W41+Y41)</f>
        <v/>
      </c>
      <c r="AA41" s="7" t="str">
        <f aca="false">IF(COUNT(C41:H41)=0,"",TRIM(IF(UPPER(K41)="N","Not a PF member, skipped. ","")&amp;IF(AND(UPPER(K41)&lt;&gt;"N",N(M41)&lt;=0),"PF wage is zero, skipped. ","")&amp;IF(AND(UPPER(K41)&lt;&gt;"N",N(M41)&gt;0,UPPER(L41)="N"),"Pension not applicable, whole 12% goes to EPF. ","")&amp;IF(AND(ISNUMBER(H41),ABS(SUM(C41:G41)-N(H41))&gt;1),"Heads in the file add up to "&amp;SUM(C41:G41)&amp;", Gross is "&amp;H41&amp;" (a pay head may be missing). ","")&amp;IF(AND(Settings!$B$32,N(H41)&gt;0,ISNUMBER(M41),N(M41)&lt;H41*0.5-0.5),"50% check: PF wage is "&amp;TEXT(M41/H41,"0%")&amp;" of gross. ","")&amp;IF(AND(N(M41)&gt;0,UPPER(K41)&lt;&gt;"N",N(N41)+N(O41)=0),"No days to count. ","")))</f>
        <v/>
      </c>
    </row>
    <row r="42" customFormat="false" ht="15" hidden="false" customHeight="false" outlineLevel="0" collapsed="false">
      <c r="A42" s="14"/>
      <c r="B42" s="14"/>
      <c r="C42" s="17"/>
      <c r="D42" s="17"/>
      <c r="E42" s="17"/>
      <c r="F42" s="17"/>
      <c r="G42" s="17"/>
      <c r="H42" s="17"/>
      <c r="I42" s="14"/>
      <c r="J42" s="14"/>
      <c r="K42" s="14"/>
      <c r="L42" s="14"/>
      <c r="M42" s="34" t="str">
        <f aca="false">IF(COUNT(C42:H42)=0,"",IFERROR(MAX(0,ROUND(IF(Settings!$B$33,IF(H42="",SUM(C42:G42),H42)-SUMPRODUCT(($C$4:$G$4="Y")*C42:G42),SUMPRODUCT(($C$4:$G$4="Y")*C42:G42)),0)),"Check inputs"))</f>
        <v/>
      </c>
      <c r="N42" s="35" t="str">
        <f aca="false">IF(AND(N($M42)&gt;0,UPPER($K42)&lt;&gt;"N"),IF(Settings!$B$28,MAX(0,MIN(Settings!$B$16,IF(I42="",Settings!$B$16,I42)))/Settings!$B$15,1),"")</f>
        <v/>
      </c>
      <c r="O42" s="35" t="str">
        <f aca="false">IF(AND(N($M42)&gt;0,UPPER($K42)&lt;&gt;"N"),IF(Settings!$B$28,MAX(0,MIN(Settings!$B$17,IF(J42="",Settings!$B$17,J42)))/Settings!$B$15,0),"")</f>
        <v/>
      </c>
      <c r="P42" s="34" t="str">
        <f aca="false">IF(N42="","",ROUND(IF(Settings!$B$27,MIN($M42,Settings!$B$29),$M42)*N42,0))</f>
        <v/>
      </c>
      <c r="Q42" s="34" t="str">
        <f aca="false">IF(N42="","",ROUND(IF(Settings!$B$27,MIN($M42,Settings!$B$30),$M42)*O42,0))</f>
        <v/>
      </c>
      <c r="R42" s="34" t="str">
        <f aca="false">IF(N42="","",P42+Q42)</f>
        <v/>
      </c>
      <c r="S42" s="34" t="str">
        <f aca="false">IF(N42="","",ROUND(MIN($M42,Settings!$B$29)*N42,0)+ROUND(MIN($M42,Settings!$B$30)*O42,0))</f>
        <v/>
      </c>
      <c r="T42" s="34" t="str">
        <f aca="false">IF(N42="","",IF(UPPER(L42)="N",0,S42))</f>
        <v/>
      </c>
      <c r="U42" s="25" t="str">
        <f aca="false">IF(N42="","",ROUND(R42*Settings!$B$18,0))</f>
        <v/>
      </c>
      <c r="V42" s="25" t="str">
        <f aca="false">IF(N42="","",ROUND(R42*Settings!$B$19,0)-X42)</f>
        <v/>
      </c>
      <c r="W42" s="25" t="str">
        <f aca="false">IF(N42="","",IF(Settings!$B$31,ROUND(R42*Settings!$B$22,0),0))</f>
        <v/>
      </c>
      <c r="X42" s="25" t="str">
        <f aca="false">IF(N42="","",MIN(ROUND(T42*Settings!$B$20,0),ROUND(R42*Settings!$B$19,0)))</f>
        <v/>
      </c>
      <c r="Y42" s="25" t="str">
        <f aca="false">IF(N42="","",IF(Settings!$B$31,ROUND(S42*Settings!$B$21,0),0))</f>
        <v/>
      </c>
      <c r="Z42" s="25" t="str">
        <f aca="false">IF(N42="","",U42+V42+X42+W42+Y42)</f>
        <v/>
      </c>
      <c r="AA42" s="7" t="str">
        <f aca="false">IF(COUNT(C42:H42)=0,"",TRIM(IF(UPPER(K42)="N","Not a PF member, skipped. ","")&amp;IF(AND(UPPER(K42)&lt;&gt;"N",N(M42)&lt;=0),"PF wage is zero, skipped. ","")&amp;IF(AND(UPPER(K42)&lt;&gt;"N",N(M42)&gt;0,UPPER(L42)="N"),"Pension not applicable, whole 12% goes to EPF. ","")&amp;IF(AND(ISNUMBER(H42),ABS(SUM(C42:G42)-N(H42))&gt;1),"Heads in the file add up to "&amp;SUM(C42:G42)&amp;", Gross is "&amp;H42&amp;" (a pay head may be missing). ","")&amp;IF(AND(Settings!$B$32,N(H42)&gt;0,ISNUMBER(M42),N(M42)&lt;H42*0.5-0.5),"50% check: PF wage is "&amp;TEXT(M42/H42,"0%")&amp;" of gross. ","")&amp;IF(AND(N(M42)&gt;0,UPPER(K42)&lt;&gt;"N",N(N42)+N(O42)=0),"No days to count. ","")))</f>
        <v/>
      </c>
    </row>
    <row r="43" customFormat="false" ht="15" hidden="false" customHeight="false" outlineLevel="0" collapsed="false">
      <c r="A43" s="14"/>
      <c r="B43" s="14"/>
      <c r="C43" s="17"/>
      <c r="D43" s="17"/>
      <c r="E43" s="17"/>
      <c r="F43" s="17"/>
      <c r="G43" s="17"/>
      <c r="H43" s="17"/>
      <c r="I43" s="14"/>
      <c r="J43" s="14"/>
      <c r="K43" s="14"/>
      <c r="L43" s="14"/>
      <c r="M43" s="34" t="str">
        <f aca="false">IF(COUNT(C43:H43)=0,"",IFERROR(MAX(0,ROUND(IF(Settings!$B$33,IF(H43="",SUM(C43:G43),H43)-SUMPRODUCT(($C$4:$G$4="Y")*C43:G43),SUMPRODUCT(($C$4:$G$4="Y")*C43:G43)),0)),"Check inputs"))</f>
        <v/>
      </c>
      <c r="N43" s="35" t="str">
        <f aca="false">IF(AND(N($M43)&gt;0,UPPER($K43)&lt;&gt;"N"),IF(Settings!$B$28,MAX(0,MIN(Settings!$B$16,IF(I43="",Settings!$B$16,I43)))/Settings!$B$15,1),"")</f>
        <v/>
      </c>
      <c r="O43" s="35" t="str">
        <f aca="false">IF(AND(N($M43)&gt;0,UPPER($K43)&lt;&gt;"N"),IF(Settings!$B$28,MAX(0,MIN(Settings!$B$17,IF(J43="",Settings!$B$17,J43)))/Settings!$B$15,0),"")</f>
        <v/>
      </c>
      <c r="P43" s="34" t="str">
        <f aca="false">IF(N43="","",ROUND(IF(Settings!$B$27,MIN($M43,Settings!$B$29),$M43)*N43,0))</f>
        <v/>
      </c>
      <c r="Q43" s="34" t="str">
        <f aca="false">IF(N43="","",ROUND(IF(Settings!$B$27,MIN($M43,Settings!$B$30),$M43)*O43,0))</f>
        <v/>
      </c>
      <c r="R43" s="34" t="str">
        <f aca="false">IF(N43="","",P43+Q43)</f>
        <v/>
      </c>
      <c r="S43" s="34" t="str">
        <f aca="false">IF(N43="","",ROUND(MIN($M43,Settings!$B$29)*N43,0)+ROUND(MIN($M43,Settings!$B$30)*O43,0))</f>
        <v/>
      </c>
      <c r="T43" s="34" t="str">
        <f aca="false">IF(N43="","",IF(UPPER(L43)="N",0,S43))</f>
        <v/>
      </c>
      <c r="U43" s="25" t="str">
        <f aca="false">IF(N43="","",ROUND(R43*Settings!$B$18,0))</f>
        <v/>
      </c>
      <c r="V43" s="25" t="str">
        <f aca="false">IF(N43="","",ROUND(R43*Settings!$B$19,0)-X43)</f>
        <v/>
      </c>
      <c r="W43" s="25" t="str">
        <f aca="false">IF(N43="","",IF(Settings!$B$31,ROUND(R43*Settings!$B$22,0),0))</f>
        <v/>
      </c>
      <c r="X43" s="25" t="str">
        <f aca="false">IF(N43="","",MIN(ROUND(T43*Settings!$B$20,0),ROUND(R43*Settings!$B$19,0)))</f>
        <v/>
      </c>
      <c r="Y43" s="25" t="str">
        <f aca="false">IF(N43="","",IF(Settings!$B$31,ROUND(S43*Settings!$B$21,0),0))</f>
        <v/>
      </c>
      <c r="Z43" s="25" t="str">
        <f aca="false">IF(N43="","",U43+V43+X43+W43+Y43)</f>
        <v/>
      </c>
      <c r="AA43" s="7" t="str">
        <f aca="false">IF(COUNT(C43:H43)=0,"",TRIM(IF(UPPER(K43)="N","Not a PF member, skipped. ","")&amp;IF(AND(UPPER(K43)&lt;&gt;"N",N(M43)&lt;=0),"PF wage is zero, skipped. ","")&amp;IF(AND(UPPER(K43)&lt;&gt;"N",N(M43)&gt;0,UPPER(L43)="N"),"Pension not applicable, whole 12% goes to EPF. ","")&amp;IF(AND(ISNUMBER(H43),ABS(SUM(C43:G43)-N(H43))&gt;1),"Heads in the file add up to "&amp;SUM(C43:G43)&amp;", Gross is "&amp;H43&amp;" (a pay head may be missing). ","")&amp;IF(AND(Settings!$B$32,N(H43)&gt;0,ISNUMBER(M43),N(M43)&lt;H43*0.5-0.5),"50% check: PF wage is "&amp;TEXT(M43/H43,"0%")&amp;" of gross. ","")&amp;IF(AND(N(M43)&gt;0,UPPER(K43)&lt;&gt;"N",N(N43)+N(O43)=0),"No days to count. ","")))</f>
        <v/>
      </c>
    </row>
    <row r="44" customFormat="false" ht="15" hidden="false" customHeight="false" outlineLevel="0" collapsed="false">
      <c r="A44" s="14"/>
      <c r="B44" s="14"/>
      <c r="C44" s="17"/>
      <c r="D44" s="17"/>
      <c r="E44" s="17"/>
      <c r="F44" s="17"/>
      <c r="G44" s="17"/>
      <c r="H44" s="17"/>
      <c r="I44" s="14"/>
      <c r="J44" s="14"/>
      <c r="K44" s="14"/>
      <c r="L44" s="14"/>
      <c r="M44" s="34" t="str">
        <f aca="false">IF(COUNT(C44:H44)=0,"",IFERROR(MAX(0,ROUND(IF(Settings!$B$33,IF(H44="",SUM(C44:G44),H44)-SUMPRODUCT(($C$4:$G$4="Y")*C44:G44),SUMPRODUCT(($C$4:$G$4="Y")*C44:G44)),0)),"Check inputs"))</f>
        <v/>
      </c>
      <c r="N44" s="35" t="str">
        <f aca="false">IF(AND(N($M44)&gt;0,UPPER($K44)&lt;&gt;"N"),IF(Settings!$B$28,MAX(0,MIN(Settings!$B$16,IF(I44="",Settings!$B$16,I44)))/Settings!$B$15,1),"")</f>
        <v/>
      </c>
      <c r="O44" s="35" t="str">
        <f aca="false">IF(AND(N($M44)&gt;0,UPPER($K44)&lt;&gt;"N"),IF(Settings!$B$28,MAX(0,MIN(Settings!$B$17,IF(J44="",Settings!$B$17,J44)))/Settings!$B$15,0),"")</f>
        <v/>
      </c>
      <c r="P44" s="34" t="str">
        <f aca="false">IF(N44="","",ROUND(IF(Settings!$B$27,MIN($M44,Settings!$B$29),$M44)*N44,0))</f>
        <v/>
      </c>
      <c r="Q44" s="34" t="str">
        <f aca="false">IF(N44="","",ROUND(IF(Settings!$B$27,MIN($M44,Settings!$B$30),$M44)*O44,0))</f>
        <v/>
      </c>
      <c r="R44" s="34" t="str">
        <f aca="false">IF(N44="","",P44+Q44)</f>
        <v/>
      </c>
      <c r="S44" s="34" t="str">
        <f aca="false">IF(N44="","",ROUND(MIN($M44,Settings!$B$29)*N44,0)+ROUND(MIN($M44,Settings!$B$30)*O44,0))</f>
        <v/>
      </c>
      <c r="T44" s="34" t="str">
        <f aca="false">IF(N44="","",IF(UPPER(L44)="N",0,S44))</f>
        <v/>
      </c>
      <c r="U44" s="25" t="str">
        <f aca="false">IF(N44="","",ROUND(R44*Settings!$B$18,0))</f>
        <v/>
      </c>
      <c r="V44" s="25" t="str">
        <f aca="false">IF(N44="","",ROUND(R44*Settings!$B$19,0)-X44)</f>
        <v/>
      </c>
      <c r="W44" s="25" t="str">
        <f aca="false">IF(N44="","",IF(Settings!$B$31,ROUND(R44*Settings!$B$22,0),0))</f>
        <v/>
      </c>
      <c r="X44" s="25" t="str">
        <f aca="false">IF(N44="","",MIN(ROUND(T44*Settings!$B$20,0),ROUND(R44*Settings!$B$19,0)))</f>
        <v/>
      </c>
      <c r="Y44" s="25" t="str">
        <f aca="false">IF(N44="","",IF(Settings!$B$31,ROUND(S44*Settings!$B$21,0),0))</f>
        <v/>
      </c>
      <c r="Z44" s="25" t="str">
        <f aca="false">IF(N44="","",U44+V44+X44+W44+Y44)</f>
        <v/>
      </c>
      <c r="AA44" s="7" t="str">
        <f aca="false">IF(COUNT(C44:H44)=0,"",TRIM(IF(UPPER(K44)="N","Not a PF member, skipped. ","")&amp;IF(AND(UPPER(K44)&lt;&gt;"N",N(M44)&lt;=0),"PF wage is zero, skipped. ","")&amp;IF(AND(UPPER(K44)&lt;&gt;"N",N(M44)&gt;0,UPPER(L44)="N"),"Pension not applicable, whole 12% goes to EPF. ","")&amp;IF(AND(ISNUMBER(H44),ABS(SUM(C44:G44)-N(H44))&gt;1),"Heads in the file add up to "&amp;SUM(C44:G44)&amp;", Gross is "&amp;H44&amp;" (a pay head may be missing). ","")&amp;IF(AND(Settings!$B$32,N(H44)&gt;0,ISNUMBER(M44),N(M44)&lt;H44*0.5-0.5),"50% check: PF wage is "&amp;TEXT(M44/H44,"0%")&amp;" of gross. ","")&amp;IF(AND(N(M44)&gt;0,UPPER(K44)&lt;&gt;"N",N(N44)+N(O44)=0),"No days to count. ","")))</f>
        <v/>
      </c>
    </row>
    <row r="45" customFormat="false" ht="15" hidden="false" customHeight="false" outlineLevel="0" collapsed="false">
      <c r="A45" s="14"/>
      <c r="B45" s="14"/>
      <c r="C45" s="17"/>
      <c r="D45" s="17"/>
      <c r="E45" s="17"/>
      <c r="F45" s="17"/>
      <c r="G45" s="17"/>
      <c r="H45" s="17"/>
      <c r="I45" s="14"/>
      <c r="J45" s="14"/>
      <c r="K45" s="14"/>
      <c r="L45" s="14"/>
      <c r="M45" s="34" t="str">
        <f aca="false">IF(COUNT(C45:H45)=0,"",IFERROR(MAX(0,ROUND(IF(Settings!$B$33,IF(H45="",SUM(C45:G45),H45)-SUMPRODUCT(($C$4:$G$4="Y")*C45:G45),SUMPRODUCT(($C$4:$G$4="Y")*C45:G45)),0)),"Check inputs"))</f>
        <v/>
      </c>
      <c r="N45" s="35" t="str">
        <f aca="false">IF(AND(N($M45)&gt;0,UPPER($K45)&lt;&gt;"N"),IF(Settings!$B$28,MAX(0,MIN(Settings!$B$16,IF(I45="",Settings!$B$16,I45)))/Settings!$B$15,1),"")</f>
        <v/>
      </c>
      <c r="O45" s="35" t="str">
        <f aca="false">IF(AND(N($M45)&gt;0,UPPER($K45)&lt;&gt;"N"),IF(Settings!$B$28,MAX(0,MIN(Settings!$B$17,IF(J45="",Settings!$B$17,J45)))/Settings!$B$15,0),"")</f>
        <v/>
      </c>
      <c r="P45" s="34" t="str">
        <f aca="false">IF(N45="","",ROUND(IF(Settings!$B$27,MIN($M45,Settings!$B$29),$M45)*N45,0))</f>
        <v/>
      </c>
      <c r="Q45" s="34" t="str">
        <f aca="false">IF(N45="","",ROUND(IF(Settings!$B$27,MIN($M45,Settings!$B$30),$M45)*O45,0))</f>
        <v/>
      </c>
      <c r="R45" s="34" t="str">
        <f aca="false">IF(N45="","",P45+Q45)</f>
        <v/>
      </c>
      <c r="S45" s="34" t="str">
        <f aca="false">IF(N45="","",ROUND(MIN($M45,Settings!$B$29)*N45,0)+ROUND(MIN($M45,Settings!$B$30)*O45,0))</f>
        <v/>
      </c>
      <c r="T45" s="34" t="str">
        <f aca="false">IF(N45="","",IF(UPPER(L45)="N",0,S45))</f>
        <v/>
      </c>
      <c r="U45" s="25" t="str">
        <f aca="false">IF(N45="","",ROUND(R45*Settings!$B$18,0))</f>
        <v/>
      </c>
      <c r="V45" s="25" t="str">
        <f aca="false">IF(N45="","",ROUND(R45*Settings!$B$19,0)-X45)</f>
        <v/>
      </c>
      <c r="W45" s="25" t="str">
        <f aca="false">IF(N45="","",IF(Settings!$B$31,ROUND(R45*Settings!$B$22,0),0))</f>
        <v/>
      </c>
      <c r="X45" s="25" t="str">
        <f aca="false">IF(N45="","",MIN(ROUND(T45*Settings!$B$20,0),ROUND(R45*Settings!$B$19,0)))</f>
        <v/>
      </c>
      <c r="Y45" s="25" t="str">
        <f aca="false">IF(N45="","",IF(Settings!$B$31,ROUND(S45*Settings!$B$21,0),0))</f>
        <v/>
      </c>
      <c r="Z45" s="25" t="str">
        <f aca="false">IF(N45="","",U45+V45+X45+W45+Y45)</f>
        <v/>
      </c>
      <c r="AA45" s="7" t="str">
        <f aca="false">IF(COUNT(C45:H45)=0,"",TRIM(IF(UPPER(K45)="N","Not a PF member, skipped. ","")&amp;IF(AND(UPPER(K45)&lt;&gt;"N",N(M45)&lt;=0),"PF wage is zero, skipped. ","")&amp;IF(AND(UPPER(K45)&lt;&gt;"N",N(M45)&gt;0,UPPER(L45)="N"),"Pension not applicable, whole 12% goes to EPF. ","")&amp;IF(AND(ISNUMBER(H45),ABS(SUM(C45:G45)-N(H45))&gt;1),"Heads in the file add up to "&amp;SUM(C45:G45)&amp;", Gross is "&amp;H45&amp;" (a pay head may be missing). ","")&amp;IF(AND(Settings!$B$32,N(H45)&gt;0,ISNUMBER(M45),N(M45)&lt;H45*0.5-0.5),"50% check: PF wage is "&amp;TEXT(M45/H45,"0%")&amp;" of gross. ","")&amp;IF(AND(N(M45)&gt;0,UPPER(K45)&lt;&gt;"N",N(N45)+N(O45)=0),"No days to count. ","")))</f>
        <v/>
      </c>
    </row>
    <row r="46" customFormat="false" ht="15" hidden="false" customHeight="false" outlineLevel="0" collapsed="false">
      <c r="A46" s="14"/>
      <c r="B46" s="14"/>
      <c r="C46" s="17"/>
      <c r="D46" s="17"/>
      <c r="E46" s="17"/>
      <c r="F46" s="17"/>
      <c r="G46" s="17"/>
      <c r="H46" s="17"/>
      <c r="I46" s="14"/>
      <c r="J46" s="14"/>
      <c r="K46" s="14"/>
      <c r="L46" s="14"/>
      <c r="M46" s="34" t="str">
        <f aca="false">IF(COUNT(C46:H46)=0,"",IFERROR(MAX(0,ROUND(IF(Settings!$B$33,IF(H46="",SUM(C46:G46),H46)-SUMPRODUCT(($C$4:$G$4="Y")*C46:G46),SUMPRODUCT(($C$4:$G$4="Y")*C46:G46)),0)),"Check inputs"))</f>
        <v/>
      </c>
      <c r="N46" s="35" t="str">
        <f aca="false">IF(AND(N($M46)&gt;0,UPPER($K46)&lt;&gt;"N"),IF(Settings!$B$28,MAX(0,MIN(Settings!$B$16,IF(I46="",Settings!$B$16,I46)))/Settings!$B$15,1),"")</f>
        <v/>
      </c>
      <c r="O46" s="35" t="str">
        <f aca="false">IF(AND(N($M46)&gt;0,UPPER($K46)&lt;&gt;"N"),IF(Settings!$B$28,MAX(0,MIN(Settings!$B$17,IF(J46="",Settings!$B$17,J46)))/Settings!$B$15,0),"")</f>
        <v/>
      </c>
      <c r="P46" s="34" t="str">
        <f aca="false">IF(N46="","",ROUND(IF(Settings!$B$27,MIN($M46,Settings!$B$29),$M46)*N46,0))</f>
        <v/>
      </c>
      <c r="Q46" s="34" t="str">
        <f aca="false">IF(N46="","",ROUND(IF(Settings!$B$27,MIN($M46,Settings!$B$30),$M46)*O46,0))</f>
        <v/>
      </c>
      <c r="R46" s="34" t="str">
        <f aca="false">IF(N46="","",P46+Q46)</f>
        <v/>
      </c>
      <c r="S46" s="34" t="str">
        <f aca="false">IF(N46="","",ROUND(MIN($M46,Settings!$B$29)*N46,0)+ROUND(MIN($M46,Settings!$B$30)*O46,0))</f>
        <v/>
      </c>
      <c r="T46" s="34" t="str">
        <f aca="false">IF(N46="","",IF(UPPER(L46)="N",0,S46))</f>
        <v/>
      </c>
      <c r="U46" s="25" t="str">
        <f aca="false">IF(N46="","",ROUND(R46*Settings!$B$18,0))</f>
        <v/>
      </c>
      <c r="V46" s="25" t="str">
        <f aca="false">IF(N46="","",ROUND(R46*Settings!$B$19,0)-X46)</f>
        <v/>
      </c>
      <c r="W46" s="25" t="str">
        <f aca="false">IF(N46="","",IF(Settings!$B$31,ROUND(R46*Settings!$B$22,0),0))</f>
        <v/>
      </c>
      <c r="X46" s="25" t="str">
        <f aca="false">IF(N46="","",MIN(ROUND(T46*Settings!$B$20,0),ROUND(R46*Settings!$B$19,0)))</f>
        <v/>
      </c>
      <c r="Y46" s="25" t="str">
        <f aca="false">IF(N46="","",IF(Settings!$B$31,ROUND(S46*Settings!$B$21,0),0))</f>
        <v/>
      </c>
      <c r="Z46" s="25" t="str">
        <f aca="false">IF(N46="","",U46+V46+X46+W46+Y46)</f>
        <v/>
      </c>
      <c r="AA46" s="7" t="str">
        <f aca="false">IF(COUNT(C46:H46)=0,"",TRIM(IF(UPPER(K46)="N","Not a PF member, skipped. ","")&amp;IF(AND(UPPER(K46)&lt;&gt;"N",N(M46)&lt;=0),"PF wage is zero, skipped. ","")&amp;IF(AND(UPPER(K46)&lt;&gt;"N",N(M46)&gt;0,UPPER(L46)="N"),"Pension not applicable, whole 12% goes to EPF. ","")&amp;IF(AND(ISNUMBER(H46),ABS(SUM(C46:G46)-N(H46))&gt;1),"Heads in the file add up to "&amp;SUM(C46:G46)&amp;", Gross is "&amp;H46&amp;" (a pay head may be missing). ","")&amp;IF(AND(Settings!$B$32,N(H46)&gt;0,ISNUMBER(M46),N(M46)&lt;H46*0.5-0.5),"50% check: PF wage is "&amp;TEXT(M46/H46,"0%")&amp;" of gross. ","")&amp;IF(AND(N(M46)&gt;0,UPPER(K46)&lt;&gt;"N",N(N46)+N(O46)=0),"No days to count. ","")))</f>
        <v/>
      </c>
    </row>
    <row r="47" customFormat="false" ht="15" hidden="false" customHeight="false" outlineLevel="0" collapsed="false">
      <c r="A47" s="14"/>
      <c r="B47" s="14"/>
      <c r="C47" s="17"/>
      <c r="D47" s="17"/>
      <c r="E47" s="17"/>
      <c r="F47" s="17"/>
      <c r="G47" s="17"/>
      <c r="H47" s="17"/>
      <c r="I47" s="14"/>
      <c r="J47" s="14"/>
      <c r="K47" s="14"/>
      <c r="L47" s="14"/>
      <c r="M47" s="34" t="str">
        <f aca="false">IF(COUNT(C47:H47)=0,"",IFERROR(MAX(0,ROUND(IF(Settings!$B$33,IF(H47="",SUM(C47:G47),H47)-SUMPRODUCT(($C$4:$G$4="Y")*C47:G47),SUMPRODUCT(($C$4:$G$4="Y")*C47:G47)),0)),"Check inputs"))</f>
        <v/>
      </c>
      <c r="N47" s="35" t="str">
        <f aca="false">IF(AND(N($M47)&gt;0,UPPER($K47)&lt;&gt;"N"),IF(Settings!$B$28,MAX(0,MIN(Settings!$B$16,IF(I47="",Settings!$B$16,I47)))/Settings!$B$15,1),"")</f>
        <v/>
      </c>
      <c r="O47" s="35" t="str">
        <f aca="false">IF(AND(N($M47)&gt;0,UPPER($K47)&lt;&gt;"N"),IF(Settings!$B$28,MAX(0,MIN(Settings!$B$17,IF(J47="",Settings!$B$17,J47)))/Settings!$B$15,0),"")</f>
        <v/>
      </c>
      <c r="P47" s="34" t="str">
        <f aca="false">IF(N47="","",ROUND(IF(Settings!$B$27,MIN($M47,Settings!$B$29),$M47)*N47,0))</f>
        <v/>
      </c>
      <c r="Q47" s="34" t="str">
        <f aca="false">IF(N47="","",ROUND(IF(Settings!$B$27,MIN($M47,Settings!$B$30),$M47)*O47,0))</f>
        <v/>
      </c>
      <c r="R47" s="34" t="str">
        <f aca="false">IF(N47="","",P47+Q47)</f>
        <v/>
      </c>
      <c r="S47" s="34" t="str">
        <f aca="false">IF(N47="","",ROUND(MIN($M47,Settings!$B$29)*N47,0)+ROUND(MIN($M47,Settings!$B$30)*O47,0))</f>
        <v/>
      </c>
      <c r="T47" s="34" t="str">
        <f aca="false">IF(N47="","",IF(UPPER(L47)="N",0,S47))</f>
        <v/>
      </c>
      <c r="U47" s="25" t="str">
        <f aca="false">IF(N47="","",ROUND(R47*Settings!$B$18,0))</f>
        <v/>
      </c>
      <c r="V47" s="25" t="str">
        <f aca="false">IF(N47="","",ROUND(R47*Settings!$B$19,0)-X47)</f>
        <v/>
      </c>
      <c r="W47" s="25" t="str">
        <f aca="false">IF(N47="","",IF(Settings!$B$31,ROUND(R47*Settings!$B$22,0),0))</f>
        <v/>
      </c>
      <c r="X47" s="25" t="str">
        <f aca="false">IF(N47="","",MIN(ROUND(T47*Settings!$B$20,0),ROUND(R47*Settings!$B$19,0)))</f>
        <v/>
      </c>
      <c r="Y47" s="25" t="str">
        <f aca="false">IF(N47="","",IF(Settings!$B$31,ROUND(S47*Settings!$B$21,0),0))</f>
        <v/>
      </c>
      <c r="Z47" s="25" t="str">
        <f aca="false">IF(N47="","",U47+V47+X47+W47+Y47)</f>
        <v/>
      </c>
      <c r="AA47" s="7" t="str">
        <f aca="false">IF(COUNT(C47:H47)=0,"",TRIM(IF(UPPER(K47)="N","Not a PF member, skipped. ","")&amp;IF(AND(UPPER(K47)&lt;&gt;"N",N(M47)&lt;=0),"PF wage is zero, skipped. ","")&amp;IF(AND(UPPER(K47)&lt;&gt;"N",N(M47)&gt;0,UPPER(L47)="N"),"Pension not applicable, whole 12% goes to EPF. ","")&amp;IF(AND(ISNUMBER(H47),ABS(SUM(C47:G47)-N(H47))&gt;1),"Heads in the file add up to "&amp;SUM(C47:G47)&amp;", Gross is "&amp;H47&amp;" (a pay head may be missing). ","")&amp;IF(AND(Settings!$B$32,N(H47)&gt;0,ISNUMBER(M47),N(M47)&lt;H47*0.5-0.5),"50% check: PF wage is "&amp;TEXT(M47/H47,"0%")&amp;" of gross. ","")&amp;IF(AND(N(M47)&gt;0,UPPER(K47)&lt;&gt;"N",N(N47)+N(O47)=0),"No days to count. ","")))</f>
        <v/>
      </c>
    </row>
    <row r="48" customFormat="false" ht="15" hidden="false" customHeight="false" outlineLevel="0" collapsed="false">
      <c r="A48" s="14"/>
      <c r="B48" s="14"/>
      <c r="C48" s="17"/>
      <c r="D48" s="17"/>
      <c r="E48" s="17"/>
      <c r="F48" s="17"/>
      <c r="G48" s="17"/>
      <c r="H48" s="17"/>
      <c r="I48" s="14"/>
      <c r="J48" s="14"/>
      <c r="K48" s="14"/>
      <c r="L48" s="14"/>
      <c r="M48" s="34" t="str">
        <f aca="false">IF(COUNT(C48:H48)=0,"",IFERROR(MAX(0,ROUND(IF(Settings!$B$33,IF(H48="",SUM(C48:G48),H48)-SUMPRODUCT(($C$4:$G$4="Y")*C48:G48),SUMPRODUCT(($C$4:$G$4="Y")*C48:G48)),0)),"Check inputs"))</f>
        <v/>
      </c>
      <c r="N48" s="35" t="str">
        <f aca="false">IF(AND(N($M48)&gt;0,UPPER($K48)&lt;&gt;"N"),IF(Settings!$B$28,MAX(0,MIN(Settings!$B$16,IF(I48="",Settings!$B$16,I48)))/Settings!$B$15,1),"")</f>
        <v/>
      </c>
      <c r="O48" s="35" t="str">
        <f aca="false">IF(AND(N($M48)&gt;0,UPPER($K48)&lt;&gt;"N"),IF(Settings!$B$28,MAX(0,MIN(Settings!$B$17,IF(J48="",Settings!$B$17,J48)))/Settings!$B$15,0),"")</f>
        <v/>
      </c>
      <c r="P48" s="34" t="str">
        <f aca="false">IF(N48="","",ROUND(IF(Settings!$B$27,MIN($M48,Settings!$B$29),$M48)*N48,0))</f>
        <v/>
      </c>
      <c r="Q48" s="34" t="str">
        <f aca="false">IF(N48="","",ROUND(IF(Settings!$B$27,MIN($M48,Settings!$B$30),$M48)*O48,0))</f>
        <v/>
      </c>
      <c r="R48" s="34" t="str">
        <f aca="false">IF(N48="","",P48+Q48)</f>
        <v/>
      </c>
      <c r="S48" s="34" t="str">
        <f aca="false">IF(N48="","",ROUND(MIN($M48,Settings!$B$29)*N48,0)+ROUND(MIN($M48,Settings!$B$30)*O48,0))</f>
        <v/>
      </c>
      <c r="T48" s="34" t="str">
        <f aca="false">IF(N48="","",IF(UPPER(L48)="N",0,S48))</f>
        <v/>
      </c>
      <c r="U48" s="25" t="str">
        <f aca="false">IF(N48="","",ROUND(R48*Settings!$B$18,0))</f>
        <v/>
      </c>
      <c r="V48" s="25" t="str">
        <f aca="false">IF(N48="","",ROUND(R48*Settings!$B$19,0)-X48)</f>
        <v/>
      </c>
      <c r="W48" s="25" t="str">
        <f aca="false">IF(N48="","",IF(Settings!$B$31,ROUND(R48*Settings!$B$22,0),0))</f>
        <v/>
      </c>
      <c r="X48" s="25" t="str">
        <f aca="false">IF(N48="","",MIN(ROUND(T48*Settings!$B$20,0),ROUND(R48*Settings!$B$19,0)))</f>
        <v/>
      </c>
      <c r="Y48" s="25" t="str">
        <f aca="false">IF(N48="","",IF(Settings!$B$31,ROUND(S48*Settings!$B$21,0),0))</f>
        <v/>
      </c>
      <c r="Z48" s="25" t="str">
        <f aca="false">IF(N48="","",U48+V48+X48+W48+Y48)</f>
        <v/>
      </c>
      <c r="AA48" s="7" t="str">
        <f aca="false">IF(COUNT(C48:H48)=0,"",TRIM(IF(UPPER(K48)="N","Not a PF member, skipped. ","")&amp;IF(AND(UPPER(K48)&lt;&gt;"N",N(M48)&lt;=0),"PF wage is zero, skipped. ","")&amp;IF(AND(UPPER(K48)&lt;&gt;"N",N(M48)&gt;0,UPPER(L48)="N"),"Pension not applicable, whole 12% goes to EPF. ","")&amp;IF(AND(ISNUMBER(H48),ABS(SUM(C48:G48)-N(H48))&gt;1),"Heads in the file add up to "&amp;SUM(C48:G48)&amp;", Gross is "&amp;H48&amp;" (a pay head may be missing). ","")&amp;IF(AND(Settings!$B$32,N(H48)&gt;0,ISNUMBER(M48),N(M48)&lt;H48*0.5-0.5),"50% check: PF wage is "&amp;TEXT(M48/H48,"0%")&amp;" of gross. ","")&amp;IF(AND(N(M48)&gt;0,UPPER(K48)&lt;&gt;"N",N(N48)+N(O48)=0),"No days to count. ","")))</f>
        <v/>
      </c>
    </row>
    <row r="49" customFormat="false" ht="15" hidden="false" customHeight="false" outlineLevel="0" collapsed="false">
      <c r="A49" s="14"/>
      <c r="B49" s="14"/>
      <c r="C49" s="17"/>
      <c r="D49" s="17"/>
      <c r="E49" s="17"/>
      <c r="F49" s="17"/>
      <c r="G49" s="17"/>
      <c r="H49" s="17"/>
      <c r="I49" s="14"/>
      <c r="J49" s="14"/>
      <c r="K49" s="14"/>
      <c r="L49" s="14"/>
      <c r="M49" s="34" t="str">
        <f aca="false">IF(COUNT(C49:H49)=0,"",IFERROR(MAX(0,ROUND(IF(Settings!$B$33,IF(H49="",SUM(C49:G49),H49)-SUMPRODUCT(($C$4:$G$4="Y")*C49:G49),SUMPRODUCT(($C$4:$G$4="Y")*C49:G49)),0)),"Check inputs"))</f>
        <v/>
      </c>
      <c r="N49" s="35" t="str">
        <f aca="false">IF(AND(N($M49)&gt;0,UPPER($K49)&lt;&gt;"N"),IF(Settings!$B$28,MAX(0,MIN(Settings!$B$16,IF(I49="",Settings!$B$16,I49)))/Settings!$B$15,1),"")</f>
        <v/>
      </c>
      <c r="O49" s="35" t="str">
        <f aca="false">IF(AND(N($M49)&gt;0,UPPER($K49)&lt;&gt;"N"),IF(Settings!$B$28,MAX(0,MIN(Settings!$B$17,IF(J49="",Settings!$B$17,J49)))/Settings!$B$15,0),"")</f>
        <v/>
      </c>
      <c r="P49" s="34" t="str">
        <f aca="false">IF(N49="","",ROUND(IF(Settings!$B$27,MIN($M49,Settings!$B$29),$M49)*N49,0))</f>
        <v/>
      </c>
      <c r="Q49" s="34" t="str">
        <f aca="false">IF(N49="","",ROUND(IF(Settings!$B$27,MIN($M49,Settings!$B$30),$M49)*O49,0))</f>
        <v/>
      </c>
      <c r="R49" s="34" t="str">
        <f aca="false">IF(N49="","",P49+Q49)</f>
        <v/>
      </c>
      <c r="S49" s="34" t="str">
        <f aca="false">IF(N49="","",ROUND(MIN($M49,Settings!$B$29)*N49,0)+ROUND(MIN($M49,Settings!$B$30)*O49,0))</f>
        <v/>
      </c>
      <c r="T49" s="34" t="str">
        <f aca="false">IF(N49="","",IF(UPPER(L49)="N",0,S49))</f>
        <v/>
      </c>
      <c r="U49" s="25" t="str">
        <f aca="false">IF(N49="","",ROUND(R49*Settings!$B$18,0))</f>
        <v/>
      </c>
      <c r="V49" s="25" t="str">
        <f aca="false">IF(N49="","",ROUND(R49*Settings!$B$19,0)-X49)</f>
        <v/>
      </c>
      <c r="W49" s="25" t="str">
        <f aca="false">IF(N49="","",IF(Settings!$B$31,ROUND(R49*Settings!$B$22,0),0))</f>
        <v/>
      </c>
      <c r="X49" s="25" t="str">
        <f aca="false">IF(N49="","",MIN(ROUND(T49*Settings!$B$20,0),ROUND(R49*Settings!$B$19,0)))</f>
        <v/>
      </c>
      <c r="Y49" s="25" t="str">
        <f aca="false">IF(N49="","",IF(Settings!$B$31,ROUND(S49*Settings!$B$21,0),0))</f>
        <v/>
      </c>
      <c r="Z49" s="25" t="str">
        <f aca="false">IF(N49="","",U49+V49+X49+W49+Y49)</f>
        <v/>
      </c>
      <c r="AA49" s="7" t="str">
        <f aca="false">IF(COUNT(C49:H49)=0,"",TRIM(IF(UPPER(K49)="N","Not a PF member, skipped. ","")&amp;IF(AND(UPPER(K49)&lt;&gt;"N",N(M49)&lt;=0),"PF wage is zero, skipped. ","")&amp;IF(AND(UPPER(K49)&lt;&gt;"N",N(M49)&gt;0,UPPER(L49)="N"),"Pension not applicable, whole 12% goes to EPF. ","")&amp;IF(AND(ISNUMBER(H49),ABS(SUM(C49:G49)-N(H49))&gt;1),"Heads in the file add up to "&amp;SUM(C49:G49)&amp;", Gross is "&amp;H49&amp;" (a pay head may be missing). ","")&amp;IF(AND(Settings!$B$32,N(H49)&gt;0,ISNUMBER(M49),N(M49)&lt;H49*0.5-0.5),"50% check: PF wage is "&amp;TEXT(M49/H49,"0%")&amp;" of gross. ","")&amp;IF(AND(N(M49)&gt;0,UPPER(K49)&lt;&gt;"N",N(N49)+N(O49)=0),"No days to count. ","")))</f>
        <v/>
      </c>
    </row>
    <row r="50" customFormat="false" ht="15" hidden="false" customHeight="false" outlineLevel="0" collapsed="false">
      <c r="A50" s="14"/>
      <c r="B50" s="14"/>
      <c r="C50" s="17"/>
      <c r="D50" s="17"/>
      <c r="E50" s="17"/>
      <c r="F50" s="17"/>
      <c r="G50" s="17"/>
      <c r="H50" s="17"/>
      <c r="I50" s="14"/>
      <c r="J50" s="14"/>
      <c r="K50" s="14"/>
      <c r="L50" s="14"/>
      <c r="M50" s="34" t="str">
        <f aca="false">IF(COUNT(C50:H50)=0,"",IFERROR(MAX(0,ROUND(IF(Settings!$B$33,IF(H50="",SUM(C50:G50),H50)-SUMPRODUCT(($C$4:$G$4="Y")*C50:G50),SUMPRODUCT(($C$4:$G$4="Y")*C50:G50)),0)),"Check inputs"))</f>
        <v/>
      </c>
      <c r="N50" s="35" t="str">
        <f aca="false">IF(AND(N($M50)&gt;0,UPPER($K50)&lt;&gt;"N"),IF(Settings!$B$28,MAX(0,MIN(Settings!$B$16,IF(I50="",Settings!$B$16,I50)))/Settings!$B$15,1),"")</f>
        <v/>
      </c>
      <c r="O50" s="35" t="str">
        <f aca="false">IF(AND(N($M50)&gt;0,UPPER($K50)&lt;&gt;"N"),IF(Settings!$B$28,MAX(0,MIN(Settings!$B$17,IF(J50="",Settings!$B$17,J50)))/Settings!$B$15,0),"")</f>
        <v/>
      </c>
      <c r="P50" s="34" t="str">
        <f aca="false">IF(N50="","",ROUND(IF(Settings!$B$27,MIN($M50,Settings!$B$29),$M50)*N50,0))</f>
        <v/>
      </c>
      <c r="Q50" s="34" t="str">
        <f aca="false">IF(N50="","",ROUND(IF(Settings!$B$27,MIN($M50,Settings!$B$30),$M50)*O50,0))</f>
        <v/>
      </c>
      <c r="R50" s="34" t="str">
        <f aca="false">IF(N50="","",P50+Q50)</f>
        <v/>
      </c>
      <c r="S50" s="34" t="str">
        <f aca="false">IF(N50="","",ROUND(MIN($M50,Settings!$B$29)*N50,0)+ROUND(MIN($M50,Settings!$B$30)*O50,0))</f>
        <v/>
      </c>
      <c r="T50" s="34" t="str">
        <f aca="false">IF(N50="","",IF(UPPER(L50)="N",0,S50))</f>
        <v/>
      </c>
      <c r="U50" s="25" t="str">
        <f aca="false">IF(N50="","",ROUND(R50*Settings!$B$18,0))</f>
        <v/>
      </c>
      <c r="V50" s="25" t="str">
        <f aca="false">IF(N50="","",ROUND(R50*Settings!$B$19,0)-X50)</f>
        <v/>
      </c>
      <c r="W50" s="25" t="str">
        <f aca="false">IF(N50="","",IF(Settings!$B$31,ROUND(R50*Settings!$B$22,0),0))</f>
        <v/>
      </c>
      <c r="X50" s="25" t="str">
        <f aca="false">IF(N50="","",MIN(ROUND(T50*Settings!$B$20,0),ROUND(R50*Settings!$B$19,0)))</f>
        <v/>
      </c>
      <c r="Y50" s="25" t="str">
        <f aca="false">IF(N50="","",IF(Settings!$B$31,ROUND(S50*Settings!$B$21,0),0))</f>
        <v/>
      </c>
      <c r="Z50" s="25" t="str">
        <f aca="false">IF(N50="","",U50+V50+X50+W50+Y50)</f>
        <v/>
      </c>
      <c r="AA50" s="7" t="str">
        <f aca="false">IF(COUNT(C50:H50)=0,"",TRIM(IF(UPPER(K50)="N","Not a PF member, skipped. ","")&amp;IF(AND(UPPER(K50)&lt;&gt;"N",N(M50)&lt;=0),"PF wage is zero, skipped. ","")&amp;IF(AND(UPPER(K50)&lt;&gt;"N",N(M50)&gt;0,UPPER(L50)="N"),"Pension not applicable, whole 12% goes to EPF. ","")&amp;IF(AND(ISNUMBER(H50),ABS(SUM(C50:G50)-N(H50))&gt;1),"Heads in the file add up to "&amp;SUM(C50:G50)&amp;", Gross is "&amp;H50&amp;" (a pay head may be missing). ","")&amp;IF(AND(Settings!$B$32,N(H50)&gt;0,ISNUMBER(M50),N(M50)&lt;H50*0.5-0.5),"50% check: PF wage is "&amp;TEXT(M50/H50,"0%")&amp;" of gross. ","")&amp;IF(AND(N(M50)&gt;0,UPPER(K50)&lt;&gt;"N",N(N50)+N(O50)=0),"No days to count. ","")))</f>
        <v/>
      </c>
    </row>
    <row r="51" customFormat="false" ht="15" hidden="false" customHeight="false" outlineLevel="0" collapsed="false">
      <c r="A51" s="14"/>
      <c r="B51" s="14"/>
      <c r="C51" s="17"/>
      <c r="D51" s="17"/>
      <c r="E51" s="17"/>
      <c r="F51" s="17"/>
      <c r="G51" s="17"/>
      <c r="H51" s="17"/>
      <c r="I51" s="14"/>
      <c r="J51" s="14"/>
      <c r="K51" s="14"/>
      <c r="L51" s="14"/>
      <c r="M51" s="34" t="str">
        <f aca="false">IF(COUNT(C51:H51)=0,"",IFERROR(MAX(0,ROUND(IF(Settings!$B$33,IF(H51="",SUM(C51:G51),H51)-SUMPRODUCT(($C$4:$G$4="Y")*C51:G51),SUMPRODUCT(($C$4:$G$4="Y")*C51:G51)),0)),"Check inputs"))</f>
        <v/>
      </c>
      <c r="N51" s="35" t="str">
        <f aca="false">IF(AND(N($M51)&gt;0,UPPER($K51)&lt;&gt;"N"),IF(Settings!$B$28,MAX(0,MIN(Settings!$B$16,IF(I51="",Settings!$B$16,I51)))/Settings!$B$15,1),"")</f>
        <v/>
      </c>
      <c r="O51" s="35" t="str">
        <f aca="false">IF(AND(N($M51)&gt;0,UPPER($K51)&lt;&gt;"N"),IF(Settings!$B$28,MAX(0,MIN(Settings!$B$17,IF(J51="",Settings!$B$17,J51)))/Settings!$B$15,0),"")</f>
        <v/>
      </c>
      <c r="P51" s="34" t="str">
        <f aca="false">IF(N51="","",ROUND(IF(Settings!$B$27,MIN($M51,Settings!$B$29),$M51)*N51,0))</f>
        <v/>
      </c>
      <c r="Q51" s="34" t="str">
        <f aca="false">IF(N51="","",ROUND(IF(Settings!$B$27,MIN($M51,Settings!$B$30),$M51)*O51,0))</f>
        <v/>
      </c>
      <c r="R51" s="34" t="str">
        <f aca="false">IF(N51="","",P51+Q51)</f>
        <v/>
      </c>
      <c r="S51" s="34" t="str">
        <f aca="false">IF(N51="","",ROUND(MIN($M51,Settings!$B$29)*N51,0)+ROUND(MIN($M51,Settings!$B$30)*O51,0))</f>
        <v/>
      </c>
      <c r="T51" s="34" t="str">
        <f aca="false">IF(N51="","",IF(UPPER(L51)="N",0,S51))</f>
        <v/>
      </c>
      <c r="U51" s="25" t="str">
        <f aca="false">IF(N51="","",ROUND(R51*Settings!$B$18,0))</f>
        <v/>
      </c>
      <c r="V51" s="25" t="str">
        <f aca="false">IF(N51="","",ROUND(R51*Settings!$B$19,0)-X51)</f>
        <v/>
      </c>
      <c r="W51" s="25" t="str">
        <f aca="false">IF(N51="","",IF(Settings!$B$31,ROUND(R51*Settings!$B$22,0),0))</f>
        <v/>
      </c>
      <c r="X51" s="25" t="str">
        <f aca="false">IF(N51="","",MIN(ROUND(T51*Settings!$B$20,0),ROUND(R51*Settings!$B$19,0)))</f>
        <v/>
      </c>
      <c r="Y51" s="25" t="str">
        <f aca="false">IF(N51="","",IF(Settings!$B$31,ROUND(S51*Settings!$B$21,0),0))</f>
        <v/>
      </c>
      <c r="Z51" s="25" t="str">
        <f aca="false">IF(N51="","",U51+V51+X51+W51+Y51)</f>
        <v/>
      </c>
      <c r="AA51" s="7" t="str">
        <f aca="false">IF(COUNT(C51:H51)=0,"",TRIM(IF(UPPER(K51)="N","Not a PF member, skipped. ","")&amp;IF(AND(UPPER(K51)&lt;&gt;"N",N(M51)&lt;=0),"PF wage is zero, skipped. ","")&amp;IF(AND(UPPER(K51)&lt;&gt;"N",N(M51)&gt;0,UPPER(L51)="N"),"Pension not applicable, whole 12% goes to EPF. ","")&amp;IF(AND(ISNUMBER(H51),ABS(SUM(C51:G51)-N(H51))&gt;1),"Heads in the file add up to "&amp;SUM(C51:G51)&amp;", Gross is "&amp;H51&amp;" (a pay head may be missing). ","")&amp;IF(AND(Settings!$B$32,N(H51)&gt;0,ISNUMBER(M51),N(M51)&lt;H51*0.5-0.5),"50% check: PF wage is "&amp;TEXT(M51/H51,"0%")&amp;" of gross. ","")&amp;IF(AND(N(M51)&gt;0,UPPER(K51)&lt;&gt;"N",N(N51)+N(O51)=0),"No days to count. ","")))</f>
        <v/>
      </c>
    </row>
    <row r="52" customFormat="false" ht="15" hidden="false" customHeight="false" outlineLevel="0" collapsed="false">
      <c r="A52" s="14"/>
      <c r="B52" s="14"/>
      <c r="C52" s="17"/>
      <c r="D52" s="17"/>
      <c r="E52" s="17"/>
      <c r="F52" s="17"/>
      <c r="G52" s="17"/>
      <c r="H52" s="17"/>
      <c r="I52" s="14"/>
      <c r="J52" s="14"/>
      <c r="K52" s="14"/>
      <c r="L52" s="14"/>
      <c r="M52" s="34" t="str">
        <f aca="false">IF(COUNT(C52:H52)=0,"",IFERROR(MAX(0,ROUND(IF(Settings!$B$33,IF(H52="",SUM(C52:G52),H52)-SUMPRODUCT(($C$4:$G$4="Y")*C52:G52),SUMPRODUCT(($C$4:$G$4="Y")*C52:G52)),0)),"Check inputs"))</f>
        <v/>
      </c>
      <c r="N52" s="35" t="str">
        <f aca="false">IF(AND(N($M52)&gt;0,UPPER($K52)&lt;&gt;"N"),IF(Settings!$B$28,MAX(0,MIN(Settings!$B$16,IF(I52="",Settings!$B$16,I52)))/Settings!$B$15,1),"")</f>
        <v/>
      </c>
      <c r="O52" s="35" t="str">
        <f aca="false">IF(AND(N($M52)&gt;0,UPPER($K52)&lt;&gt;"N"),IF(Settings!$B$28,MAX(0,MIN(Settings!$B$17,IF(J52="",Settings!$B$17,J52)))/Settings!$B$15,0),"")</f>
        <v/>
      </c>
      <c r="P52" s="34" t="str">
        <f aca="false">IF(N52="","",ROUND(IF(Settings!$B$27,MIN($M52,Settings!$B$29),$M52)*N52,0))</f>
        <v/>
      </c>
      <c r="Q52" s="34" t="str">
        <f aca="false">IF(N52="","",ROUND(IF(Settings!$B$27,MIN($M52,Settings!$B$30),$M52)*O52,0))</f>
        <v/>
      </c>
      <c r="R52" s="34" t="str">
        <f aca="false">IF(N52="","",P52+Q52)</f>
        <v/>
      </c>
      <c r="S52" s="34" t="str">
        <f aca="false">IF(N52="","",ROUND(MIN($M52,Settings!$B$29)*N52,0)+ROUND(MIN($M52,Settings!$B$30)*O52,0))</f>
        <v/>
      </c>
      <c r="T52" s="34" t="str">
        <f aca="false">IF(N52="","",IF(UPPER(L52)="N",0,S52))</f>
        <v/>
      </c>
      <c r="U52" s="25" t="str">
        <f aca="false">IF(N52="","",ROUND(R52*Settings!$B$18,0))</f>
        <v/>
      </c>
      <c r="V52" s="25" t="str">
        <f aca="false">IF(N52="","",ROUND(R52*Settings!$B$19,0)-X52)</f>
        <v/>
      </c>
      <c r="W52" s="25" t="str">
        <f aca="false">IF(N52="","",IF(Settings!$B$31,ROUND(R52*Settings!$B$22,0),0))</f>
        <v/>
      </c>
      <c r="X52" s="25" t="str">
        <f aca="false">IF(N52="","",MIN(ROUND(T52*Settings!$B$20,0),ROUND(R52*Settings!$B$19,0)))</f>
        <v/>
      </c>
      <c r="Y52" s="25" t="str">
        <f aca="false">IF(N52="","",IF(Settings!$B$31,ROUND(S52*Settings!$B$21,0),0))</f>
        <v/>
      </c>
      <c r="Z52" s="25" t="str">
        <f aca="false">IF(N52="","",U52+V52+X52+W52+Y52)</f>
        <v/>
      </c>
      <c r="AA52" s="7" t="str">
        <f aca="false">IF(COUNT(C52:H52)=0,"",TRIM(IF(UPPER(K52)="N","Not a PF member, skipped. ","")&amp;IF(AND(UPPER(K52)&lt;&gt;"N",N(M52)&lt;=0),"PF wage is zero, skipped. ","")&amp;IF(AND(UPPER(K52)&lt;&gt;"N",N(M52)&gt;0,UPPER(L52)="N"),"Pension not applicable, whole 12% goes to EPF. ","")&amp;IF(AND(ISNUMBER(H52),ABS(SUM(C52:G52)-N(H52))&gt;1),"Heads in the file add up to "&amp;SUM(C52:G52)&amp;", Gross is "&amp;H52&amp;" (a pay head may be missing). ","")&amp;IF(AND(Settings!$B$32,N(H52)&gt;0,ISNUMBER(M52),N(M52)&lt;H52*0.5-0.5),"50% check: PF wage is "&amp;TEXT(M52/H52,"0%")&amp;" of gross. ","")&amp;IF(AND(N(M52)&gt;0,UPPER(K52)&lt;&gt;"N",N(N52)+N(O52)=0),"No days to count. ","")))</f>
        <v/>
      </c>
    </row>
    <row r="53" customFormat="false" ht="15" hidden="false" customHeight="false" outlineLevel="0" collapsed="false">
      <c r="A53" s="14"/>
      <c r="B53" s="14"/>
      <c r="C53" s="17"/>
      <c r="D53" s="17"/>
      <c r="E53" s="17"/>
      <c r="F53" s="17"/>
      <c r="G53" s="17"/>
      <c r="H53" s="17"/>
      <c r="I53" s="14"/>
      <c r="J53" s="14"/>
      <c r="K53" s="14"/>
      <c r="L53" s="14"/>
      <c r="M53" s="34" t="str">
        <f aca="false">IF(COUNT(C53:H53)=0,"",IFERROR(MAX(0,ROUND(IF(Settings!$B$33,IF(H53="",SUM(C53:G53),H53)-SUMPRODUCT(($C$4:$G$4="Y")*C53:G53),SUMPRODUCT(($C$4:$G$4="Y")*C53:G53)),0)),"Check inputs"))</f>
        <v/>
      </c>
      <c r="N53" s="35" t="str">
        <f aca="false">IF(AND(N($M53)&gt;0,UPPER($K53)&lt;&gt;"N"),IF(Settings!$B$28,MAX(0,MIN(Settings!$B$16,IF(I53="",Settings!$B$16,I53)))/Settings!$B$15,1),"")</f>
        <v/>
      </c>
      <c r="O53" s="35" t="str">
        <f aca="false">IF(AND(N($M53)&gt;0,UPPER($K53)&lt;&gt;"N"),IF(Settings!$B$28,MAX(0,MIN(Settings!$B$17,IF(J53="",Settings!$B$17,J53)))/Settings!$B$15,0),"")</f>
        <v/>
      </c>
      <c r="P53" s="34" t="str">
        <f aca="false">IF(N53="","",ROUND(IF(Settings!$B$27,MIN($M53,Settings!$B$29),$M53)*N53,0))</f>
        <v/>
      </c>
      <c r="Q53" s="34" t="str">
        <f aca="false">IF(N53="","",ROUND(IF(Settings!$B$27,MIN($M53,Settings!$B$30),$M53)*O53,0))</f>
        <v/>
      </c>
      <c r="R53" s="34" t="str">
        <f aca="false">IF(N53="","",P53+Q53)</f>
        <v/>
      </c>
      <c r="S53" s="34" t="str">
        <f aca="false">IF(N53="","",ROUND(MIN($M53,Settings!$B$29)*N53,0)+ROUND(MIN($M53,Settings!$B$30)*O53,0))</f>
        <v/>
      </c>
      <c r="T53" s="34" t="str">
        <f aca="false">IF(N53="","",IF(UPPER(L53)="N",0,S53))</f>
        <v/>
      </c>
      <c r="U53" s="25" t="str">
        <f aca="false">IF(N53="","",ROUND(R53*Settings!$B$18,0))</f>
        <v/>
      </c>
      <c r="V53" s="25" t="str">
        <f aca="false">IF(N53="","",ROUND(R53*Settings!$B$19,0)-X53)</f>
        <v/>
      </c>
      <c r="W53" s="25" t="str">
        <f aca="false">IF(N53="","",IF(Settings!$B$31,ROUND(R53*Settings!$B$22,0),0))</f>
        <v/>
      </c>
      <c r="X53" s="25" t="str">
        <f aca="false">IF(N53="","",MIN(ROUND(T53*Settings!$B$20,0),ROUND(R53*Settings!$B$19,0)))</f>
        <v/>
      </c>
      <c r="Y53" s="25" t="str">
        <f aca="false">IF(N53="","",IF(Settings!$B$31,ROUND(S53*Settings!$B$21,0),0))</f>
        <v/>
      </c>
      <c r="Z53" s="25" t="str">
        <f aca="false">IF(N53="","",U53+V53+X53+W53+Y53)</f>
        <v/>
      </c>
      <c r="AA53" s="7" t="str">
        <f aca="false">IF(COUNT(C53:H53)=0,"",TRIM(IF(UPPER(K53)="N","Not a PF member, skipped. ","")&amp;IF(AND(UPPER(K53)&lt;&gt;"N",N(M53)&lt;=0),"PF wage is zero, skipped. ","")&amp;IF(AND(UPPER(K53)&lt;&gt;"N",N(M53)&gt;0,UPPER(L53)="N"),"Pension not applicable, whole 12% goes to EPF. ","")&amp;IF(AND(ISNUMBER(H53),ABS(SUM(C53:G53)-N(H53))&gt;1),"Heads in the file add up to "&amp;SUM(C53:G53)&amp;", Gross is "&amp;H53&amp;" (a pay head may be missing). ","")&amp;IF(AND(Settings!$B$32,N(H53)&gt;0,ISNUMBER(M53),N(M53)&lt;H53*0.5-0.5),"50% check: PF wage is "&amp;TEXT(M53/H53,"0%")&amp;" of gross. ","")&amp;IF(AND(N(M53)&gt;0,UPPER(K53)&lt;&gt;"N",N(N53)+N(O53)=0),"No days to count. ","")))</f>
        <v/>
      </c>
    </row>
    <row r="54" customFormat="false" ht="15" hidden="false" customHeight="false" outlineLevel="0" collapsed="false">
      <c r="A54" s="14"/>
      <c r="B54" s="14"/>
      <c r="C54" s="17"/>
      <c r="D54" s="17"/>
      <c r="E54" s="17"/>
      <c r="F54" s="17"/>
      <c r="G54" s="17"/>
      <c r="H54" s="17"/>
      <c r="I54" s="14"/>
      <c r="J54" s="14"/>
      <c r="K54" s="14"/>
      <c r="L54" s="14"/>
      <c r="M54" s="34" t="str">
        <f aca="false">IF(COUNT(C54:H54)=0,"",IFERROR(MAX(0,ROUND(IF(Settings!$B$33,IF(H54="",SUM(C54:G54),H54)-SUMPRODUCT(($C$4:$G$4="Y")*C54:G54),SUMPRODUCT(($C$4:$G$4="Y")*C54:G54)),0)),"Check inputs"))</f>
        <v/>
      </c>
      <c r="N54" s="35" t="str">
        <f aca="false">IF(AND(N($M54)&gt;0,UPPER($K54)&lt;&gt;"N"),IF(Settings!$B$28,MAX(0,MIN(Settings!$B$16,IF(I54="",Settings!$B$16,I54)))/Settings!$B$15,1),"")</f>
        <v/>
      </c>
      <c r="O54" s="35" t="str">
        <f aca="false">IF(AND(N($M54)&gt;0,UPPER($K54)&lt;&gt;"N"),IF(Settings!$B$28,MAX(0,MIN(Settings!$B$17,IF(J54="",Settings!$B$17,J54)))/Settings!$B$15,0),"")</f>
        <v/>
      </c>
      <c r="P54" s="34" t="str">
        <f aca="false">IF(N54="","",ROUND(IF(Settings!$B$27,MIN($M54,Settings!$B$29),$M54)*N54,0))</f>
        <v/>
      </c>
      <c r="Q54" s="34" t="str">
        <f aca="false">IF(N54="","",ROUND(IF(Settings!$B$27,MIN($M54,Settings!$B$30),$M54)*O54,0))</f>
        <v/>
      </c>
      <c r="R54" s="34" t="str">
        <f aca="false">IF(N54="","",P54+Q54)</f>
        <v/>
      </c>
      <c r="S54" s="34" t="str">
        <f aca="false">IF(N54="","",ROUND(MIN($M54,Settings!$B$29)*N54,0)+ROUND(MIN($M54,Settings!$B$30)*O54,0))</f>
        <v/>
      </c>
      <c r="T54" s="34" t="str">
        <f aca="false">IF(N54="","",IF(UPPER(L54)="N",0,S54))</f>
        <v/>
      </c>
      <c r="U54" s="25" t="str">
        <f aca="false">IF(N54="","",ROUND(R54*Settings!$B$18,0))</f>
        <v/>
      </c>
      <c r="V54" s="25" t="str">
        <f aca="false">IF(N54="","",ROUND(R54*Settings!$B$19,0)-X54)</f>
        <v/>
      </c>
      <c r="W54" s="25" t="str">
        <f aca="false">IF(N54="","",IF(Settings!$B$31,ROUND(R54*Settings!$B$22,0),0))</f>
        <v/>
      </c>
      <c r="X54" s="25" t="str">
        <f aca="false">IF(N54="","",MIN(ROUND(T54*Settings!$B$20,0),ROUND(R54*Settings!$B$19,0)))</f>
        <v/>
      </c>
      <c r="Y54" s="25" t="str">
        <f aca="false">IF(N54="","",IF(Settings!$B$31,ROUND(S54*Settings!$B$21,0),0))</f>
        <v/>
      </c>
      <c r="Z54" s="25" t="str">
        <f aca="false">IF(N54="","",U54+V54+X54+W54+Y54)</f>
        <v/>
      </c>
      <c r="AA54" s="7" t="str">
        <f aca="false">IF(COUNT(C54:H54)=0,"",TRIM(IF(UPPER(K54)="N","Not a PF member, skipped. ","")&amp;IF(AND(UPPER(K54)&lt;&gt;"N",N(M54)&lt;=0),"PF wage is zero, skipped. ","")&amp;IF(AND(UPPER(K54)&lt;&gt;"N",N(M54)&gt;0,UPPER(L54)="N"),"Pension not applicable, whole 12% goes to EPF. ","")&amp;IF(AND(ISNUMBER(H54),ABS(SUM(C54:G54)-N(H54))&gt;1),"Heads in the file add up to "&amp;SUM(C54:G54)&amp;", Gross is "&amp;H54&amp;" (a pay head may be missing). ","")&amp;IF(AND(Settings!$B$32,N(H54)&gt;0,ISNUMBER(M54),N(M54)&lt;H54*0.5-0.5),"50% check: PF wage is "&amp;TEXT(M54/H54,"0%")&amp;" of gross. ","")&amp;IF(AND(N(M54)&gt;0,UPPER(K54)&lt;&gt;"N",N(N54)+N(O54)=0),"No days to count. ","")))</f>
        <v/>
      </c>
    </row>
    <row r="55" customFormat="false" ht="15" hidden="false" customHeight="false" outlineLevel="0" collapsed="false">
      <c r="A55" s="14"/>
      <c r="B55" s="14"/>
      <c r="C55" s="17"/>
      <c r="D55" s="17"/>
      <c r="E55" s="17"/>
      <c r="F55" s="17"/>
      <c r="G55" s="17"/>
      <c r="H55" s="17"/>
      <c r="I55" s="14"/>
      <c r="J55" s="14"/>
      <c r="K55" s="14"/>
      <c r="L55" s="14"/>
      <c r="M55" s="34" t="str">
        <f aca="false">IF(COUNT(C55:H55)=0,"",IFERROR(MAX(0,ROUND(IF(Settings!$B$33,IF(H55="",SUM(C55:G55),H55)-SUMPRODUCT(($C$4:$G$4="Y")*C55:G55),SUMPRODUCT(($C$4:$G$4="Y")*C55:G55)),0)),"Check inputs"))</f>
        <v/>
      </c>
      <c r="N55" s="35" t="str">
        <f aca="false">IF(AND(N($M55)&gt;0,UPPER($K55)&lt;&gt;"N"),IF(Settings!$B$28,MAX(0,MIN(Settings!$B$16,IF(I55="",Settings!$B$16,I55)))/Settings!$B$15,1),"")</f>
        <v/>
      </c>
      <c r="O55" s="35" t="str">
        <f aca="false">IF(AND(N($M55)&gt;0,UPPER($K55)&lt;&gt;"N"),IF(Settings!$B$28,MAX(0,MIN(Settings!$B$17,IF(J55="",Settings!$B$17,J55)))/Settings!$B$15,0),"")</f>
        <v/>
      </c>
      <c r="P55" s="34" t="str">
        <f aca="false">IF(N55="","",ROUND(IF(Settings!$B$27,MIN($M55,Settings!$B$29),$M55)*N55,0))</f>
        <v/>
      </c>
      <c r="Q55" s="34" t="str">
        <f aca="false">IF(N55="","",ROUND(IF(Settings!$B$27,MIN($M55,Settings!$B$30),$M55)*O55,0))</f>
        <v/>
      </c>
      <c r="R55" s="34" t="str">
        <f aca="false">IF(N55="","",P55+Q55)</f>
        <v/>
      </c>
      <c r="S55" s="34" t="str">
        <f aca="false">IF(N55="","",ROUND(MIN($M55,Settings!$B$29)*N55,0)+ROUND(MIN($M55,Settings!$B$30)*O55,0))</f>
        <v/>
      </c>
      <c r="T55" s="34" t="str">
        <f aca="false">IF(N55="","",IF(UPPER(L55)="N",0,S55))</f>
        <v/>
      </c>
      <c r="U55" s="25" t="str">
        <f aca="false">IF(N55="","",ROUND(R55*Settings!$B$18,0))</f>
        <v/>
      </c>
      <c r="V55" s="25" t="str">
        <f aca="false">IF(N55="","",ROUND(R55*Settings!$B$19,0)-X55)</f>
        <v/>
      </c>
      <c r="W55" s="25" t="str">
        <f aca="false">IF(N55="","",IF(Settings!$B$31,ROUND(R55*Settings!$B$22,0),0))</f>
        <v/>
      </c>
      <c r="X55" s="25" t="str">
        <f aca="false">IF(N55="","",MIN(ROUND(T55*Settings!$B$20,0),ROUND(R55*Settings!$B$19,0)))</f>
        <v/>
      </c>
      <c r="Y55" s="25" t="str">
        <f aca="false">IF(N55="","",IF(Settings!$B$31,ROUND(S55*Settings!$B$21,0),0))</f>
        <v/>
      </c>
      <c r="Z55" s="25" t="str">
        <f aca="false">IF(N55="","",U55+V55+X55+W55+Y55)</f>
        <v/>
      </c>
      <c r="AA55" s="7" t="str">
        <f aca="false">IF(COUNT(C55:H55)=0,"",TRIM(IF(UPPER(K55)="N","Not a PF member, skipped. ","")&amp;IF(AND(UPPER(K55)&lt;&gt;"N",N(M55)&lt;=0),"PF wage is zero, skipped. ","")&amp;IF(AND(UPPER(K55)&lt;&gt;"N",N(M55)&gt;0,UPPER(L55)="N"),"Pension not applicable, whole 12% goes to EPF. ","")&amp;IF(AND(ISNUMBER(H55),ABS(SUM(C55:G55)-N(H55))&gt;1),"Heads in the file add up to "&amp;SUM(C55:G55)&amp;", Gross is "&amp;H55&amp;" (a pay head may be missing). ","")&amp;IF(AND(Settings!$B$32,N(H55)&gt;0,ISNUMBER(M55),N(M55)&lt;H55*0.5-0.5),"50% check: PF wage is "&amp;TEXT(M55/H55,"0%")&amp;" of gross. ","")&amp;IF(AND(N(M55)&gt;0,UPPER(K55)&lt;&gt;"N",N(N55)+N(O55)=0),"No days to count. ","")))</f>
        <v/>
      </c>
    </row>
    <row r="56" customFormat="false" ht="15" hidden="false" customHeight="false" outlineLevel="0" collapsed="false">
      <c r="A56" s="14"/>
      <c r="B56" s="14"/>
      <c r="C56" s="17"/>
      <c r="D56" s="17"/>
      <c r="E56" s="17"/>
      <c r="F56" s="17"/>
      <c r="G56" s="17"/>
      <c r="H56" s="17"/>
      <c r="I56" s="14"/>
      <c r="J56" s="14"/>
      <c r="K56" s="14"/>
      <c r="L56" s="14"/>
      <c r="M56" s="34" t="str">
        <f aca="false">IF(COUNT(C56:H56)=0,"",IFERROR(MAX(0,ROUND(IF(Settings!$B$33,IF(H56="",SUM(C56:G56),H56)-SUMPRODUCT(($C$4:$G$4="Y")*C56:G56),SUMPRODUCT(($C$4:$G$4="Y")*C56:G56)),0)),"Check inputs"))</f>
        <v/>
      </c>
      <c r="N56" s="35" t="str">
        <f aca="false">IF(AND(N($M56)&gt;0,UPPER($K56)&lt;&gt;"N"),IF(Settings!$B$28,MAX(0,MIN(Settings!$B$16,IF(I56="",Settings!$B$16,I56)))/Settings!$B$15,1),"")</f>
        <v/>
      </c>
      <c r="O56" s="35" t="str">
        <f aca="false">IF(AND(N($M56)&gt;0,UPPER($K56)&lt;&gt;"N"),IF(Settings!$B$28,MAX(0,MIN(Settings!$B$17,IF(J56="",Settings!$B$17,J56)))/Settings!$B$15,0),"")</f>
        <v/>
      </c>
      <c r="P56" s="34" t="str">
        <f aca="false">IF(N56="","",ROUND(IF(Settings!$B$27,MIN($M56,Settings!$B$29),$M56)*N56,0))</f>
        <v/>
      </c>
      <c r="Q56" s="34" t="str">
        <f aca="false">IF(N56="","",ROUND(IF(Settings!$B$27,MIN($M56,Settings!$B$30),$M56)*O56,0))</f>
        <v/>
      </c>
      <c r="R56" s="34" t="str">
        <f aca="false">IF(N56="","",P56+Q56)</f>
        <v/>
      </c>
      <c r="S56" s="34" t="str">
        <f aca="false">IF(N56="","",ROUND(MIN($M56,Settings!$B$29)*N56,0)+ROUND(MIN($M56,Settings!$B$30)*O56,0))</f>
        <v/>
      </c>
      <c r="T56" s="34" t="str">
        <f aca="false">IF(N56="","",IF(UPPER(L56)="N",0,S56))</f>
        <v/>
      </c>
      <c r="U56" s="25" t="str">
        <f aca="false">IF(N56="","",ROUND(R56*Settings!$B$18,0))</f>
        <v/>
      </c>
      <c r="V56" s="25" t="str">
        <f aca="false">IF(N56="","",ROUND(R56*Settings!$B$19,0)-X56)</f>
        <v/>
      </c>
      <c r="W56" s="25" t="str">
        <f aca="false">IF(N56="","",IF(Settings!$B$31,ROUND(R56*Settings!$B$22,0),0))</f>
        <v/>
      </c>
      <c r="X56" s="25" t="str">
        <f aca="false">IF(N56="","",MIN(ROUND(T56*Settings!$B$20,0),ROUND(R56*Settings!$B$19,0)))</f>
        <v/>
      </c>
      <c r="Y56" s="25" t="str">
        <f aca="false">IF(N56="","",IF(Settings!$B$31,ROUND(S56*Settings!$B$21,0),0))</f>
        <v/>
      </c>
      <c r="Z56" s="25" t="str">
        <f aca="false">IF(N56="","",U56+V56+X56+W56+Y56)</f>
        <v/>
      </c>
      <c r="AA56" s="7" t="str">
        <f aca="false">IF(COUNT(C56:H56)=0,"",TRIM(IF(UPPER(K56)="N","Not a PF member, skipped. ","")&amp;IF(AND(UPPER(K56)&lt;&gt;"N",N(M56)&lt;=0),"PF wage is zero, skipped. ","")&amp;IF(AND(UPPER(K56)&lt;&gt;"N",N(M56)&gt;0,UPPER(L56)="N"),"Pension not applicable, whole 12% goes to EPF. ","")&amp;IF(AND(ISNUMBER(H56),ABS(SUM(C56:G56)-N(H56))&gt;1),"Heads in the file add up to "&amp;SUM(C56:G56)&amp;", Gross is "&amp;H56&amp;" (a pay head may be missing). ","")&amp;IF(AND(Settings!$B$32,N(H56)&gt;0,ISNUMBER(M56),N(M56)&lt;H56*0.5-0.5),"50% check: PF wage is "&amp;TEXT(M56/H56,"0%")&amp;" of gross. ","")&amp;IF(AND(N(M56)&gt;0,UPPER(K56)&lt;&gt;"N",N(N56)+N(O56)=0),"No days to count. ","")))</f>
        <v/>
      </c>
    </row>
    <row r="57" customFormat="false" ht="15" hidden="false" customHeight="false" outlineLevel="0" collapsed="false">
      <c r="A57" s="14"/>
      <c r="B57" s="14"/>
      <c r="C57" s="17"/>
      <c r="D57" s="17"/>
      <c r="E57" s="17"/>
      <c r="F57" s="17"/>
      <c r="G57" s="17"/>
      <c r="H57" s="17"/>
      <c r="I57" s="14"/>
      <c r="J57" s="14"/>
      <c r="K57" s="14"/>
      <c r="L57" s="14"/>
      <c r="M57" s="34" t="str">
        <f aca="false">IF(COUNT(C57:H57)=0,"",IFERROR(MAX(0,ROUND(IF(Settings!$B$33,IF(H57="",SUM(C57:G57),H57)-SUMPRODUCT(($C$4:$G$4="Y")*C57:G57),SUMPRODUCT(($C$4:$G$4="Y")*C57:G57)),0)),"Check inputs"))</f>
        <v/>
      </c>
      <c r="N57" s="35" t="str">
        <f aca="false">IF(AND(N($M57)&gt;0,UPPER($K57)&lt;&gt;"N"),IF(Settings!$B$28,MAX(0,MIN(Settings!$B$16,IF(I57="",Settings!$B$16,I57)))/Settings!$B$15,1),"")</f>
        <v/>
      </c>
      <c r="O57" s="35" t="str">
        <f aca="false">IF(AND(N($M57)&gt;0,UPPER($K57)&lt;&gt;"N"),IF(Settings!$B$28,MAX(0,MIN(Settings!$B$17,IF(J57="",Settings!$B$17,J57)))/Settings!$B$15,0),"")</f>
        <v/>
      </c>
      <c r="P57" s="34" t="str">
        <f aca="false">IF(N57="","",ROUND(IF(Settings!$B$27,MIN($M57,Settings!$B$29),$M57)*N57,0))</f>
        <v/>
      </c>
      <c r="Q57" s="34" t="str">
        <f aca="false">IF(N57="","",ROUND(IF(Settings!$B$27,MIN($M57,Settings!$B$30),$M57)*O57,0))</f>
        <v/>
      </c>
      <c r="R57" s="34" t="str">
        <f aca="false">IF(N57="","",P57+Q57)</f>
        <v/>
      </c>
      <c r="S57" s="34" t="str">
        <f aca="false">IF(N57="","",ROUND(MIN($M57,Settings!$B$29)*N57,0)+ROUND(MIN($M57,Settings!$B$30)*O57,0))</f>
        <v/>
      </c>
      <c r="T57" s="34" t="str">
        <f aca="false">IF(N57="","",IF(UPPER(L57)="N",0,S57))</f>
        <v/>
      </c>
      <c r="U57" s="25" t="str">
        <f aca="false">IF(N57="","",ROUND(R57*Settings!$B$18,0))</f>
        <v/>
      </c>
      <c r="V57" s="25" t="str">
        <f aca="false">IF(N57="","",ROUND(R57*Settings!$B$19,0)-X57)</f>
        <v/>
      </c>
      <c r="W57" s="25" t="str">
        <f aca="false">IF(N57="","",IF(Settings!$B$31,ROUND(R57*Settings!$B$22,0),0))</f>
        <v/>
      </c>
      <c r="X57" s="25" t="str">
        <f aca="false">IF(N57="","",MIN(ROUND(T57*Settings!$B$20,0),ROUND(R57*Settings!$B$19,0)))</f>
        <v/>
      </c>
      <c r="Y57" s="25" t="str">
        <f aca="false">IF(N57="","",IF(Settings!$B$31,ROUND(S57*Settings!$B$21,0),0))</f>
        <v/>
      </c>
      <c r="Z57" s="25" t="str">
        <f aca="false">IF(N57="","",U57+V57+X57+W57+Y57)</f>
        <v/>
      </c>
      <c r="AA57" s="7" t="str">
        <f aca="false">IF(COUNT(C57:H57)=0,"",TRIM(IF(UPPER(K57)="N","Not a PF member, skipped. ","")&amp;IF(AND(UPPER(K57)&lt;&gt;"N",N(M57)&lt;=0),"PF wage is zero, skipped. ","")&amp;IF(AND(UPPER(K57)&lt;&gt;"N",N(M57)&gt;0,UPPER(L57)="N"),"Pension not applicable, whole 12% goes to EPF. ","")&amp;IF(AND(ISNUMBER(H57),ABS(SUM(C57:G57)-N(H57))&gt;1),"Heads in the file add up to "&amp;SUM(C57:G57)&amp;", Gross is "&amp;H57&amp;" (a pay head may be missing). ","")&amp;IF(AND(Settings!$B$32,N(H57)&gt;0,ISNUMBER(M57),N(M57)&lt;H57*0.5-0.5),"50% check: PF wage is "&amp;TEXT(M57/H57,"0%")&amp;" of gross. ","")&amp;IF(AND(N(M57)&gt;0,UPPER(K57)&lt;&gt;"N",N(N57)+N(O57)=0),"No days to count. ","")))</f>
        <v/>
      </c>
    </row>
    <row r="58" customFormat="false" ht="15" hidden="false" customHeight="false" outlineLevel="0" collapsed="false">
      <c r="A58" s="14"/>
      <c r="B58" s="14"/>
      <c r="C58" s="17"/>
      <c r="D58" s="17"/>
      <c r="E58" s="17"/>
      <c r="F58" s="17"/>
      <c r="G58" s="17"/>
      <c r="H58" s="17"/>
      <c r="I58" s="14"/>
      <c r="J58" s="14"/>
      <c r="K58" s="14"/>
      <c r="L58" s="14"/>
      <c r="M58" s="34" t="str">
        <f aca="false">IF(COUNT(C58:H58)=0,"",IFERROR(MAX(0,ROUND(IF(Settings!$B$33,IF(H58="",SUM(C58:G58),H58)-SUMPRODUCT(($C$4:$G$4="Y")*C58:G58),SUMPRODUCT(($C$4:$G$4="Y")*C58:G58)),0)),"Check inputs"))</f>
        <v/>
      </c>
      <c r="N58" s="35" t="str">
        <f aca="false">IF(AND(N($M58)&gt;0,UPPER($K58)&lt;&gt;"N"),IF(Settings!$B$28,MAX(0,MIN(Settings!$B$16,IF(I58="",Settings!$B$16,I58)))/Settings!$B$15,1),"")</f>
        <v/>
      </c>
      <c r="O58" s="35" t="str">
        <f aca="false">IF(AND(N($M58)&gt;0,UPPER($K58)&lt;&gt;"N"),IF(Settings!$B$28,MAX(0,MIN(Settings!$B$17,IF(J58="",Settings!$B$17,J58)))/Settings!$B$15,0),"")</f>
        <v/>
      </c>
      <c r="P58" s="34" t="str">
        <f aca="false">IF(N58="","",ROUND(IF(Settings!$B$27,MIN($M58,Settings!$B$29),$M58)*N58,0))</f>
        <v/>
      </c>
      <c r="Q58" s="34" t="str">
        <f aca="false">IF(N58="","",ROUND(IF(Settings!$B$27,MIN($M58,Settings!$B$30),$M58)*O58,0))</f>
        <v/>
      </c>
      <c r="R58" s="34" t="str">
        <f aca="false">IF(N58="","",P58+Q58)</f>
        <v/>
      </c>
      <c r="S58" s="34" t="str">
        <f aca="false">IF(N58="","",ROUND(MIN($M58,Settings!$B$29)*N58,0)+ROUND(MIN($M58,Settings!$B$30)*O58,0))</f>
        <v/>
      </c>
      <c r="T58" s="34" t="str">
        <f aca="false">IF(N58="","",IF(UPPER(L58)="N",0,S58))</f>
        <v/>
      </c>
      <c r="U58" s="25" t="str">
        <f aca="false">IF(N58="","",ROUND(R58*Settings!$B$18,0))</f>
        <v/>
      </c>
      <c r="V58" s="25" t="str">
        <f aca="false">IF(N58="","",ROUND(R58*Settings!$B$19,0)-X58)</f>
        <v/>
      </c>
      <c r="W58" s="25" t="str">
        <f aca="false">IF(N58="","",IF(Settings!$B$31,ROUND(R58*Settings!$B$22,0),0))</f>
        <v/>
      </c>
      <c r="X58" s="25" t="str">
        <f aca="false">IF(N58="","",MIN(ROUND(T58*Settings!$B$20,0),ROUND(R58*Settings!$B$19,0)))</f>
        <v/>
      </c>
      <c r="Y58" s="25" t="str">
        <f aca="false">IF(N58="","",IF(Settings!$B$31,ROUND(S58*Settings!$B$21,0),0))</f>
        <v/>
      </c>
      <c r="Z58" s="25" t="str">
        <f aca="false">IF(N58="","",U58+V58+X58+W58+Y58)</f>
        <v/>
      </c>
      <c r="AA58" s="7" t="str">
        <f aca="false">IF(COUNT(C58:H58)=0,"",TRIM(IF(UPPER(K58)="N","Not a PF member, skipped. ","")&amp;IF(AND(UPPER(K58)&lt;&gt;"N",N(M58)&lt;=0),"PF wage is zero, skipped. ","")&amp;IF(AND(UPPER(K58)&lt;&gt;"N",N(M58)&gt;0,UPPER(L58)="N"),"Pension not applicable, whole 12% goes to EPF. ","")&amp;IF(AND(ISNUMBER(H58),ABS(SUM(C58:G58)-N(H58))&gt;1),"Heads in the file add up to "&amp;SUM(C58:G58)&amp;", Gross is "&amp;H58&amp;" (a pay head may be missing). ","")&amp;IF(AND(Settings!$B$32,N(H58)&gt;0,ISNUMBER(M58),N(M58)&lt;H58*0.5-0.5),"50% check: PF wage is "&amp;TEXT(M58/H58,"0%")&amp;" of gross. ","")&amp;IF(AND(N(M58)&gt;0,UPPER(K58)&lt;&gt;"N",N(N58)+N(O58)=0),"No days to count. ","")))</f>
        <v/>
      </c>
    </row>
    <row r="59" customFormat="false" ht="15" hidden="false" customHeight="false" outlineLevel="0" collapsed="false">
      <c r="A59" s="14"/>
      <c r="B59" s="14"/>
      <c r="C59" s="17"/>
      <c r="D59" s="17"/>
      <c r="E59" s="17"/>
      <c r="F59" s="17"/>
      <c r="G59" s="17"/>
      <c r="H59" s="17"/>
      <c r="I59" s="14"/>
      <c r="J59" s="14"/>
      <c r="K59" s="14"/>
      <c r="L59" s="14"/>
      <c r="M59" s="34" t="str">
        <f aca="false">IF(COUNT(C59:H59)=0,"",IFERROR(MAX(0,ROUND(IF(Settings!$B$33,IF(H59="",SUM(C59:G59),H59)-SUMPRODUCT(($C$4:$G$4="Y")*C59:G59),SUMPRODUCT(($C$4:$G$4="Y")*C59:G59)),0)),"Check inputs"))</f>
        <v/>
      </c>
      <c r="N59" s="35" t="str">
        <f aca="false">IF(AND(N($M59)&gt;0,UPPER($K59)&lt;&gt;"N"),IF(Settings!$B$28,MAX(0,MIN(Settings!$B$16,IF(I59="",Settings!$B$16,I59)))/Settings!$B$15,1),"")</f>
        <v/>
      </c>
      <c r="O59" s="35" t="str">
        <f aca="false">IF(AND(N($M59)&gt;0,UPPER($K59)&lt;&gt;"N"),IF(Settings!$B$28,MAX(0,MIN(Settings!$B$17,IF(J59="",Settings!$B$17,J59)))/Settings!$B$15,0),"")</f>
        <v/>
      </c>
      <c r="P59" s="34" t="str">
        <f aca="false">IF(N59="","",ROUND(IF(Settings!$B$27,MIN($M59,Settings!$B$29),$M59)*N59,0))</f>
        <v/>
      </c>
      <c r="Q59" s="34" t="str">
        <f aca="false">IF(N59="","",ROUND(IF(Settings!$B$27,MIN($M59,Settings!$B$30),$M59)*O59,0))</f>
        <v/>
      </c>
      <c r="R59" s="34" t="str">
        <f aca="false">IF(N59="","",P59+Q59)</f>
        <v/>
      </c>
      <c r="S59" s="34" t="str">
        <f aca="false">IF(N59="","",ROUND(MIN($M59,Settings!$B$29)*N59,0)+ROUND(MIN($M59,Settings!$B$30)*O59,0))</f>
        <v/>
      </c>
      <c r="T59" s="34" t="str">
        <f aca="false">IF(N59="","",IF(UPPER(L59)="N",0,S59))</f>
        <v/>
      </c>
      <c r="U59" s="25" t="str">
        <f aca="false">IF(N59="","",ROUND(R59*Settings!$B$18,0))</f>
        <v/>
      </c>
      <c r="V59" s="25" t="str">
        <f aca="false">IF(N59="","",ROUND(R59*Settings!$B$19,0)-X59)</f>
        <v/>
      </c>
      <c r="W59" s="25" t="str">
        <f aca="false">IF(N59="","",IF(Settings!$B$31,ROUND(R59*Settings!$B$22,0),0))</f>
        <v/>
      </c>
      <c r="X59" s="25" t="str">
        <f aca="false">IF(N59="","",MIN(ROUND(T59*Settings!$B$20,0),ROUND(R59*Settings!$B$19,0)))</f>
        <v/>
      </c>
      <c r="Y59" s="25" t="str">
        <f aca="false">IF(N59="","",IF(Settings!$B$31,ROUND(S59*Settings!$B$21,0),0))</f>
        <v/>
      </c>
      <c r="Z59" s="25" t="str">
        <f aca="false">IF(N59="","",U59+V59+X59+W59+Y59)</f>
        <v/>
      </c>
      <c r="AA59" s="7" t="str">
        <f aca="false">IF(COUNT(C59:H59)=0,"",TRIM(IF(UPPER(K59)="N","Not a PF member, skipped. ","")&amp;IF(AND(UPPER(K59)&lt;&gt;"N",N(M59)&lt;=0),"PF wage is zero, skipped. ","")&amp;IF(AND(UPPER(K59)&lt;&gt;"N",N(M59)&gt;0,UPPER(L59)="N"),"Pension not applicable, whole 12% goes to EPF. ","")&amp;IF(AND(ISNUMBER(H59),ABS(SUM(C59:G59)-N(H59))&gt;1),"Heads in the file add up to "&amp;SUM(C59:G59)&amp;", Gross is "&amp;H59&amp;" (a pay head may be missing). ","")&amp;IF(AND(Settings!$B$32,N(H59)&gt;0,ISNUMBER(M59),N(M59)&lt;H59*0.5-0.5),"50% check: PF wage is "&amp;TEXT(M59/H59,"0%")&amp;" of gross. ","")&amp;IF(AND(N(M59)&gt;0,UPPER(K59)&lt;&gt;"N",N(N59)+N(O59)=0),"No days to count. ","")))</f>
        <v/>
      </c>
    </row>
    <row r="60" customFormat="false" ht="15" hidden="false" customHeight="false" outlineLevel="0" collapsed="false">
      <c r="A60" s="14"/>
      <c r="B60" s="14"/>
      <c r="C60" s="17"/>
      <c r="D60" s="17"/>
      <c r="E60" s="17"/>
      <c r="F60" s="17"/>
      <c r="G60" s="17"/>
      <c r="H60" s="17"/>
      <c r="I60" s="14"/>
      <c r="J60" s="14"/>
      <c r="K60" s="14"/>
      <c r="L60" s="14"/>
      <c r="M60" s="34" t="str">
        <f aca="false">IF(COUNT(C60:H60)=0,"",IFERROR(MAX(0,ROUND(IF(Settings!$B$33,IF(H60="",SUM(C60:G60),H60)-SUMPRODUCT(($C$4:$G$4="Y")*C60:G60),SUMPRODUCT(($C$4:$G$4="Y")*C60:G60)),0)),"Check inputs"))</f>
        <v/>
      </c>
      <c r="N60" s="35" t="str">
        <f aca="false">IF(AND(N($M60)&gt;0,UPPER($K60)&lt;&gt;"N"),IF(Settings!$B$28,MAX(0,MIN(Settings!$B$16,IF(I60="",Settings!$B$16,I60)))/Settings!$B$15,1),"")</f>
        <v/>
      </c>
      <c r="O60" s="35" t="str">
        <f aca="false">IF(AND(N($M60)&gt;0,UPPER($K60)&lt;&gt;"N"),IF(Settings!$B$28,MAX(0,MIN(Settings!$B$17,IF(J60="",Settings!$B$17,J60)))/Settings!$B$15,0),"")</f>
        <v/>
      </c>
      <c r="P60" s="34" t="str">
        <f aca="false">IF(N60="","",ROUND(IF(Settings!$B$27,MIN($M60,Settings!$B$29),$M60)*N60,0))</f>
        <v/>
      </c>
      <c r="Q60" s="34" t="str">
        <f aca="false">IF(N60="","",ROUND(IF(Settings!$B$27,MIN($M60,Settings!$B$30),$M60)*O60,0))</f>
        <v/>
      </c>
      <c r="R60" s="34" t="str">
        <f aca="false">IF(N60="","",P60+Q60)</f>
        <v/>
      </c>
      <c r="S60" s="34" t="str">
        <f aca="false">IF(N60="","",ROUND(MIN($M60,Settings!$B$29)*N60,0)+ROUND(MIN($M60,Settings!$B$30)*O60,0))</f>
        <v/>
      </c>
      <c r="T60" s="34" t="str">
        <f aca="false">IF(N60="","",IF(UPPER(L60)="N",0,S60))</f>
        <v/>
      </c>
      <c r="U60" s="25" t="str">
        <f aca="false">IF(N60="","",ROUND(R60*Settings!$B$18,0))</f>
        <v/>
      </c>
      <c r="V60" s="25" t="str">
        <f aca="false">IF(N60="","",ROUND(R60*Settings!$B$19,0)-X60)</f>
        <v/>
      </c>
      <c r="W60" s="25" t="str">
        <f aca="false">IF(N60="","",IF(Settings!$B$31,ROUND(R60*Settings!$B$22,0),0))</f>
        <v/>
      </c>
      <c r="X60" s="25" t="str">
        <f aca="false">IF(N60="","",MIN(ROUND(T60*Settings!$B$20,0),ROUND(R60*Settings!$B$19,0)))</f>
        <v/>
      </c>
      <c r="Y60" s="25" t="str">
        <f aca="false">IF(N60="","",IF(Settings!$B$31,ROUND(S60*Settings!$B$21,0),0))</f>
        <v/>
      </c>
      <c r="Z60" s="25" t="str">
        <f aca="false">IF(N60="","",U60+V60+X60+W60+Y60)</f>
        <v/>
      </c>
      <c r="AA60" s="7" t="str">
        <f aca="false">IF(COUNT(C60:H60)=0,"",TRIM(IF(UPPER(K60)="N","Not a PF member, skipped. ","")&amp;IF(AND(UPPER(K60)&lt;&gt;"N",N(M60)&lt;=0),"PF wage is zero, skipped. ","")&amp;IF(AND(UPPER(K60)&lt;&gt;"N",N(M60)&gt;0,UPPER(L60)="N"),"Pension not applicable, whole 12% goes to EPF. ","")&amp;IF(AND(ISNUMBER(H60),ABS(SUM(C60:G60)-N(H60))&gt;1),"Heads in the file add up to "&amp;SUM(C60:G60)&amp;", Gross is "&amp;H60&amp;" (a pay head may be missing). ","")&amp;IF(AND(Settings!$B$32,N(H60)&gt;0,ISNUMBER(M60),N(M60)&lt;H60*0.5-0.5),"50% check: PF wage is "&amp;TEXT(M60/H60,"0%")&amp;" of gross. ","")&amp;IF(AND(N(M60)&gt;0,UPPER(K60)&lt;&gt;"N",N(N60)+N(O60)=0),"No days to count. ","")))</f>
        <v/>
      </c>
    </row>
    <row r="61" customFormat="false" ht="15" hidden="false" customHeight="false" outlineLevel="0" collapsed="false">
      <c r="A61" s="14"/>
      <c r="B61" s="14"/>
      <c r="C61" s="17"/>
      <c r="D61" s="17"/>
      <c r="E61" s="17"/>
      <c r="F61" s="17"/>
      <c r="G61" s="17"/>
      <c r="H61" s="17"/>
      <c r="I61" s="14"/>
      <c r="J61" s="14"/>
      <c r="K61" s="14"/>
      <c r="L61" s="14"/>
      <c r="M61" s="34" t="str">
        <f aca="false">IF(COUNT(C61:H61)=0,"",IFERROR(MAX(0,ROUND(IF(Settings!$B$33,IF(H61="",SUM(C61:G61),H61)-SUMPRODUCT(($C$4:$G$4="Y")*C61:G61),SUMPRODUCT(($C$4:$G$4="Y")*C61:G61)),0)),"Check inputs"))</f>
        <v/>
      </c>
      <c r="N61" s="35" t="str">
        <f aca="false">IF(AND(N($M61)&gt;0,UPPER($K61)&lt;&gt;"N"),IF(Settings!$B$28,MAX(0,MIN(Settings!$B$16,IF(I61="",Settings!$B$16,I61)))/Settings!$B$15,1),"")</f>
        <v/>
      </c>
      <c r="O61" s="35" t="str">
        <f aca="false">IF(AND(N($M61)&gt;0,UPPER($K61)&lt;&gt;"N"),IF(Settings!$B$28,MAX(0,MIN(Settings!$B$17,IF(J61="",Settings!$B$17,J61)))/Settings!$B$15,0),"")</f>
        <v/>
      </c>
      <c r="P61" s="34" t="str">
        <f aca="false">IF(N61="","",ROUND(IF(Settings!$B$27,MIN($M61,Settings!$B$29),$M61)*N61,0))</f>
        <v/>
      </c>
      <c r="Q61" s="34" t="str">
        <f aca="false">IF(N61="","",ROUND(IF(Settings!$B$27,MIN($M61,Settings!$B$30),$M61)*O61,0))</f>
        <v/>
      </c>
      <c r="R61" s="34" t="str">
        <f aca="false">IF(N61="","",P61+Q61)</f>
        <v/>
      </c>
      <c r="S61" s="34" t="str">
        <f aca="false">IF(N61="","",ROUND(MIN($M61,Settings!$B$29)*N61,0)+ROUND(MIN($M61,Settings!$B$30)*O61,0))</f>
        <v/>
      </c>
      <c r="T61" s="34" t="str">
        <f aca="false">IF(N61="","",IF(UPPER(L61)="N",0,S61))</f>
        <v/>
      </c>
      <c r="U61" s="25" t="str">
        <f aca="false">IF(N61="","",ROUND(R61*Settings!$B$18,0))</f>
        <v/>
      </c>
      <c r="V61" s="25" t="str">
        <f aca="false">IF(N61="","",ROUND(R61*Settings!$B$19,0)-X61)</f>
        <v/>
      </c>
      <c r="W61" s="25" t="str">
        <f aca="false">IF(N61="","",IF(Settings!$B$31,ROUND(R61*Settings!$B$22,0),0))</f>
        <v/>
      </c>
      <c r="X61" s="25" t="str">
        <f aca="false">IF(N61="","",MIN(ROUND(T61*Settings!$B$20,0),ROUND(R61*Settings!$B$19,0)))</f>
        <v/>
      </c>
      <c r="Y61" s="25" t="str">
        <f aca="false">IF(N61="","",IF(Settings!$B$31,ROUND(S61*Settings!$B$21,0),0))</f>
        <v/>
      </c>
      <c r="Z61" s="25" t="str">
        <f aca="false">IF(N61="","",U61+V61+X61+W61+Y61)</f>
        <v/>
      </c>
      <c r="AA61" s="7" t="str">
        <f aca="false">IF(COUNT(C61:H61)=0,"",TRIM(IF(UPPER(K61)="N","Not a PF member, skipped. ","")&amp;IF(AND(UPPER(K61)&lt;&gt;"N",N(M61)&lt;=0),"PF wage is zero, skipped. ","")&amp;IF(AND(UPPER(K61)&lt;&gt;"N",N(M61)&gt;0,UPPER(L61)="N"),"Pension not applicable, whole 12% goes to EPF. ","")&amp;IF(AND(ISNUMBER(H61),ABS(SUM(C61:G61)-N(H61))&gt;1),"Heads in the file add up to "&amp;SUM(C61:G61)&amp;", Gross is "&amp;H61&amp;" (a pay head may be missing). ","")&amp;IF(AND(Settings!$B$32,N(H61)&gt;0,ISNUMBER(M61),N(M61)&lt;H61*0.5-0.5),"50% check: PF wage is "&amp;TEXT(M61/H61,"0%")&amp;" of gross. ","")&amp;IF(AND(N(M61)&gt;0,UPPER(K61)&lt;&gt;"N",N(N61)+N(O61)=0),"No days to count. ","")))</f>
        <v/>
      </c>
    </row>
    <row r="62" customFormat="false" ht="15" hidden="false" customHeight="false" outlineLevel="0" collapsed="false">
      <c r="A62" s="14"/>
      <c r="B62" s="14"/>
      <c r="C62" s="17"/>
      <c r="D62" s="17"/>
      <c r="E62" s="17"/>
      <c r="F62" s="17"/>
      <c r="G62" s="17"/>
      <c r="H62" s="17"/>
      <c r="I62" s="14"/>
      <c r="J62" s="14"/>
      <c r="K62" s="14"/>
      <c r="L62" s="14"/>
      <c r="M62" s="34" t="str">
        <f aca="false">IF(COUNT(C62:H62)=0,"",IFERROR(MAX(0,ROUND(IF(Settings!$B$33,IF(H62="",SUM(C62:G62),H62)-SUMPRODUCT(($C$4:$G$4="Y")*C62:G62),SUMPRODUCT(($C$4:$G$4="Y")*C62:G62)),0)),"Check inputs"))</f>
        <v/>
      </c>
      <c r="N62" s="35" t="str">
        <f aca="false">IF(AND(N($M62)&gt;0,UPPER($K62)&lt;&gt;"N"),IF(Settings!$B$28,MAX(0,MIN(Settings!$B$16,IF(I62="",Settings!$B$16,I62)))/Settings!$B$15,1),"")</f>
        <v/>
      </c>
      <c r="O62" s="35" t="str">
        <f aca="false">IF(AND(N($M62)&gt;0,UPPER($K62)&lt;&gt;"N"),IF(Settings!$B$28,MAX(0,MIN(Settings!$B$17,IF(J62="",Settings!$B$17,J62)))/Settings!$B$15,0),"")</f>
        <v/>
      </c>
      <c r="P62" s="34" t="str">
        <f aca="false">IF(N62="","",ROUND(IF(Settings!$B$27,MIN($M62,Settings!$B$29),$M62)*N62,0))</f>
        <v/>
      </c>
      <c r="Q62" s="34" t="str">
        <f aca="false">IF(N62="","",ROUND(IF(Settings!$B$27,MIN($M62,Settings!$B$30),$M62)*O62,0))</f>
        <v/>
      </c>
      <c r="R62" s="34" t="str">
        <f aca="false">IF(N62="","",P62+Q62)</f>
        <v/>
      </c>
      <c r="S62" s="34" t="str">
        <f aca="false">IF(N62="","",ROUND(MIN($M62,Settings!$B$29)*N62,0)+ROUND(MIN($M62,Settings!$B$30)*O62,0))</f>
        <v/>
      </c>
      <c r="T62" s="34" t="str">
        <f aca="false">IF(N62="","",IF(UPPER(L62)="N",0,S62))</f>
        <v/>
      </c>
      <c r="U62" s="25" t="str">
        <f aca="false">IF(N62="","",ROUND(R62*Settings!$B$18,0))</f>
        <v/>
      </c>
      <c r="V62" s="25" t="str">
        <f aca="false">IF(N62="","",ROUND(R62*Settings!$B$19,0)-X62)</f>
        <v/>
      </c>
      <c r="W62" s="25" t="str">
        <f aca="false">IF(N62="","",IF(Settings!$B$31,ROUND(R62*Settings!$B$22,0),0))</f>
        <v/>
      </c>
      <c r="X62" s="25" t="str">
        <f aca="false">IF(N62="","",MIN(ROUND(T62*Settings!$B$20,0),ROUND(R62*Settings!$B$19,0)))</f>
        <v/>
      </c>
      <c r="Y62" s="25" t="str">
        <f aca="false">IF(N62="","",IF(Settings!$B$31,ROUND(S62*Settings!$B$21,0),0))</f>
        <v/>
      </c>
      <c r="Z62" s="25" t="str">
        <f aca="false">IF(N62="","",U62+V62+X62+W62+Y62)</f>
        <v/>
      </c>
      <c r="AA62" s="7" t="str">
        <f aca="false">IF(COUNT(C62:H62)=0,"",TRIM(IF(UPPER(K62)="N","Not a PF member, skipped. ","")&amp;IF(AND(UPPER(K62)&lt;&gt;"N",N(M62)&lt;=0),"PF wage is zero, skipped. ","")&amp;IF(AND(UPPER(K62)&lt;&gt;"N",N(M62)&gt;0,UPPER(L62)="N"),"Pension not applicable, whole 12% goes to EPF. ","")&amp;IF(AND(ISNUMBER(H62),ABS(SUM(C62:G62)-N(H62))&gt;1),"Heads in the file add up to "&amp;SUM(C62:G62)&amp;", Gross is "&amp;H62&amp;" (a pay head may be missing). ","")&amp;IF(AND(Settings!$B$32,N(H62)&gt;0,ISNUMBER(M62),N(M62)&lt;H62*0.5-0.5),"50% check: PF wage is "&amp;TEXT(M62/H62,"0%")&amp;" of gross. ","")&amp;IF(AND(N(M62)&gt;0,UPPER(K62)&lt;&gt;"N",N(N62)+N(O62)=0),"No days to count. ","")))</f>
        <v/>
      </c>
    </row>
    <row r="63" customFormat="false" ht="15" hidden="false" customHeight="false" outlineLevel="0" collapsed="false">
      <c r="A63" s="14"/>
      <c r="B63" s="14"/>
      <c r="C63" s="17"/>
      <c r="D63" s="17"/>
      <c r="E63" s="17"/>
      <c r="F63" s="17"/>
      <c r="G63" s="17"/>
      <c r="H63" s="17"/>
      <c r="I63" s="14"/>
      <c r="J63" s="14"/>
      <c r="K63" s="14"/>
      <c r="L63" s="14"/>
      <c r="M63" s="34" t="str">
        <f aca="false">IF(COUNT(C63:H63)=0,"",IFERROR(MAX(0,ROUND(IF(Settings!$B$33,IF(H63="",SUM(C63:G63),H63)-SUMPRODUCT(($C$4:$G$4="Y")*C63:G63),SUMPRODUCT(($C$4:$G$4="Y")*C63:G63)),0)),"Check inputs"))</f>
        <v/>
      </c>
      <c r="N63" s="35" t="str">
        <f aca="false">IF(AND(N($M63)&gt;0,UPPER($K63)&lt;&gt;"N"),IF(Settings!$B$28,MAX(0,MIN(Settings!$B$16,IF(I63="",Settings!$B$16,I63)))/Settings!$B$15,1),"")</f>
        <v/>
      </c>
      <c r="O63" s="35" t="str">
        <f aca="false">IF(AND(N($M63)&gt;0,UPPER($K63)&lt;&gt;"N"),IF(Settings!$B$28,MAX(0,MIN(Settings!$B$17,IF(J63="",Settings!$B$17,J63)))/Settings!$B$15,0),"")</f>
        <v/>
      </c>
      <c r="P63" s="34" t="str">
        <f aca="false">IF(N63="","",ROUND(IF(Settings!$B$27,MIN($M63,Settings!$B$29),$M63)*N63,0))</f>
        <v/>
      </c>
      <c r="Q63" s="34" t="str">
        <f aca="false">IF(N63="","",ROUND(IF(Settings!$B$27,MIN($M63,Settings!$B$30),$M63)*O63,0))</f>
        <v/>
      </c>
      <c r="R63" s="34" t="str">
        <f aca="false">IF(N63="","",P63+Q63)</f>
        <v/>
      </c>
      <c r="S63" s="34" t="str">
        <f aca="false">IF(N63="","",ROUND(MIN($M63,Settings!$B$29)*N63,0)+ROUND(MIN($M63,Settings!$B$30)*O63,0))</f>
        <v/>
      </c>
      <c r="T63" s="34" t="str">
        <f aca="false">IF(N63="","",IF(UPPER(L63)="N",0,S63))</f>
        <v/>
      </c>
      <c r="U63" s="25" t="str">
        <f aca="false">IF(N63="","",ROUND(R63*Settings!$B$18,0))</f>
        <v/>
      </c>
      <c r="V63" s="25" t="str">
        <f aca="false">IF(N63="","",ROUND(R63*Settings!$B$19,0)-X63)</f>
        <v/>
      </c>
      <c r="W63" s="25" t="str">
        <f aca="false">IF(N63="","",IF(Settings!$B$31,ROUND(R63*Settings!$B$22,0),0))</f>
        <v/>
      </c>
      <c r="X63" s="25" t="str">
        <f aca="false">IF(N63="","",MIN(ROUND(T63*Settings!$B$20,0),ROUND(R63*Settings!$B$19,0)))</f>
        <v/>
      </c>
      <c r="Y63" s="25" t="str">
        <f aca="false">IF(N63="","",IF(Settings!$B$31,ROUND(S63*Settings!$B$21,0),0))</f>
        <v/>
      </c>
      <c r="Z63" s="25" t="str">
        <f aca="false">IF(N63="","",U63+V63+X63+W63+Y63)</f>
        <v/>
      </c>
      <c r="AA63" s="7" t="str">
        <f aca="false">IF(COUNT(C63:H63)=0,"",TRIM(IF(UPPER(K63)="N","Not a PF member, skipped. ","")&amp;IF(AND(UPPER(K63)&lt;&gt;"N",N(M63)&lt;=0),"PF wage is zero, skipped. ","")&amp;IF(AND(UPPER(K63)&lt;&gt;"N",N(M63)&gt;0,UPPER(L63)="N"),"Pension not applicable, whole 12% goes to EPF. ","")&amp;IF(AND(ISNUMBER(H63),ABS(SUM(C63:G63)-N(H63))&gt;1),"Heads in the file add up to "&amp;SUM(C63:G63)&amp;", Gross is "&amp;H63&amp;" (a pay head may be missing). ","")&amp;IF(AND(Settings!$B$32,N(H63)&gt;0,ISNUMBER(M63),N(M63)&lt;H63*0.5-0.5),"50% check: PF wage is "&amp;TEXT(M63/H63,"0%")&amp;" of gross. ","")&amp;IF(AND(N(M63)&gt;0,UPPER(K63)&lt;&gt;"N",N(N63)+N(O63)=0),"No days to count. ","")))</f>
        <v/>
      </c>
    </row>
    <row r="64" customFormat="false" ht="15" hidden="false" customHeight="false" outlineLevel="0" collapsed="false">
      <c r="A64" s="14"/>
      <c r="B64" s="14"/>
      <c r="C64" s="17"/>
      <c r="D64" s="17"/>
      <c r="E64" s="17"/>
      <c r="F64" s="17"/>
      <c r="G64" s="17"/>
      <c r="H64" s="17"/>
      <c r="I64" s="14"/>
      <c r="J64" s="14"/>
      <c r="K64" s="14"/>
      <c r="L64" s="14"/>
      <c r="M64" s="34" t="str">
        <f aca="false">IF(COUNT(C64:H64)=0,"",IFERROR(MAX(0,ROUND(IF(Settings!$B$33,IF(H64="",SUM(C64:G64),H64)-SUMPRODUCT(($C$4:$G$4="Y")*C64:G64),SUMPRODUCT(($C$4:$G$4="Y")*C64:G64)),0)),"Check inputs"))</f>
        <v/>
      </c>
      <c r="N64" s="35" t="str">
        <f aca="false">IF(AND(N($M64)&gt;0,UPPER($K64)&lt;&gt;"N"),IF(Settings!$B$28,MAX(0,MIN(Settings!$B$16,IF(I64="",Settings!$B$16,I64)))/Settings!$B$15,1),"")</f>
        <v/>
      </c>
      <c r="O64" s="35" t="str">
        <f aca="false">IF(AND(N($M64)&gt;0,UPPER($K64)&lt;&gt;"N"),IF(Settings!$B$28,MAX(0,MIN(Settings!$B$17,IF(J64="",Settings!$B$17,J64)))/Settings!$B$15,0),"")</f>
        <v/>
      </c>
      <c r="P64" s="34" t="str">
        <f aca="false">IF(N64="","",ROUND(IF(Settings!$B$27,MIN($M64,Settings!$B$29),$M64)*N64,0))</f>
        <v/>
      </c>
      <c r="Q64" s="34" t="str">
        <f aca="false">IF(N64="","",ROUND(IF(Settings!$B$27,MIN($M64,Settings!$B$30),$M64)*O64,0))</f>
        <v/>
      </c>
      <c r="R64" s="34" t="str">
        <f aca="false">IF(N64="","",P64+Q64)</f>
        <v/>
      </c>
      <c r="S64" s="34" t="str">
        <f aca="false">IF(N64="","",ROUND(MIN($M64,Settings!$B$29)*N64,0)+ROUND(MIN($M64,Settings!$B$30)*O64,0))</f>
        <v/>
      </c>
      <c r="T64" s="34" t="str">
        <f aca="false">IF(N64="","",IF(UPPER(L64)="N",0,S64))</f>
        <v/>
      </c>
      <c r="U64" s="25" t="str">
        <f aca="false">IF(N64="","",ROUND(R64*Settings!$B$18,0))</f>
        <v/>
      </c>
      <c r="V64" s="25" t="str">
        <f aca="false">IF(N64="","",ROUND(R64*Settings!$B$19,0)-X64)</f>
        <v/>
      </c>
      <c r="W64" s="25" t="str">
        <f aca="false">IF(N64="","",IF(Settings!$B$31,ROUND(R64*Settings!$B$22,0),0))</f>
        <v/>
      </c>
      <c r="X64" s="25" t="str">
        <f aca="false">IF(N64="","",MIN(ROUND(T64*Settings!$B$20,0),ROUND(R64*Settings!$B$19,0)))</f>
        <v/>
      </c>
      <c r="Y64" s="25" t="str">
        <f aca="false">IF(N64="","",IF(Settings!$B$31,ROUND(S64*Settings!$B$21,0),0))</f>
        <v/>
      </c>
      <c r="Z64" s="25" t="str">
        <f aca="false">IF(N64="","",U64+V64+X64+W64+Y64)</f>
        <v/>
      </c>
      <c r="AA64" s="7" t="str">
        <f aca="false">IF(COUNT(C64:H64)=0,"",TRIM(IF(UPPER(K64)="N","Not a PF member, skipped. ","")&amp;IF(AND(UPPER(K64)&lt;&gt;"N",N(M64)&lt;=0),"PF wage is zero, skipped. ","")&amp;IF(AND(UPPER(K64)&lt;&gt;"N",N(M64)&gt;0,UPPER(L64)="N"),"Pension not applicable, whole 12% goes to EPF. ","")&amp;IF(AND(ISNUMBER(H64),ABS(SUM(C64:G64)-N(H64))&gt;1),"Heads in the file add up to "&amp;SUM(C64:G64)&amp;", Gross is "&amp;H64&amp;" (a pay head may be missing). ","")&amp;IF(AND(Settings!$B$32,N(H64)&gt;0,ISNUMBER(M64),N(M64)&lt;H64*0.5-0.5),"50% check: PF wage is "&amp;TEXT(M64/H64,"0%")&amp;" of gross. ","")&amp;IF(AND(N(M64)&gt;0,UPPER(K64)&lt;&gt;"N",N(N64)+N(O64)=0),"No days to count. ","")))</f>
        <v/>
      </c>
    </row>
    <row r="65" customFormat="false" ht="15" hidden="false" customHeight="false" outlineLevel="0" collapsed="false">
      <c r="A65" s="14"/>
      <c r="B65" s="14"/>
      <c r="C65" s="17"/>
      <c r="D65" s="17"/>
      <c r="E65" s="17"/>
      <c r="F65" s="17"/>
      <c r="G65" s="17"/>
      <c r="H65" s="17"/>
      <c r="I65" s="14"/>
      <c r="J65" s="14"/>
      <c r="K65" s="14"/>
      <c r="L65" s="14"/>
      <c r="M65" s="34" t="str">
        <f aca="false">IF(COUNT(C65:H65)=0,"",IFERROR(MAX(0,ROUND(IF(Settings!$B$33,IF(H65="",SUM(C65:G65),H65)-SUMPRODUCT(($C$4:$G$4="Y")*C65:G65),SUMPRODUCT(($C$4:$G$4="Y")*C65:G65)),0)),"Check inputs"))</f>
        <v/>
      </c>
      <c r="N65" s="35" t="str">
        <f aca="false">IF(AND(N($M65)&gt;0,UPPER($K65)&lt;&gt;"N"),IF(Settings!$B$28,MAX(0,MIN(Settings!$B$16,IF(I65="",Settings!$B$16,I65)))/Settings!$B$15,1),"")</f>
        <v/>
      </c>
      <c r="O65" s="35" t="str">
        <f aca="false">IF(AND(N($M65)&gt;0,UPPER($K65)&lt;&gt;"N"),IF(Settings!$B$28,MAX(0,MIN(Settings!$B$17,IF(J65="",Settings!$B$17,J65)))/Settings!$B$15,0),"")</f>
        <v/>
      </c>
      <c r="P65" s="34" t="str">
        <f aca="false">IF(N65="","",ROUND(IF(Settings!$B$27,MIN($M65,Settings!$B$29),$M65)*N65,0))</f>
        <v/>
      </c>
      <c r="Q65" s="34" t="str">
        <f aca="false">IF(N65="","",ROUND(IF(Settings!$B$27,MIN($M65,Settings!$B$30),$M65)*O65,0))</f>
        <v/>
      </c>
      <c r="R65" s="34" t="str">
        <f aca="false">IF(N65="","",P65+Q65)</f>
        <v/>
      </c>
      <c r="S65" s="34" t="str">
        <f aca="false">IF(N65="","",ROUND(MIN($M65,Settings!$B$29)*N65,0)+ROUND(MIN($M65,Settings!$B$30)*O65,0))</f>
        <v/>
      </c>
      <c r="T65" s="34" t="str">
        <f aca="false">IF(N65="","",IF(UPPER(L65)="N",0,S65))</f>
        <v/>
      </c>
      <c r="U65" s="25" t="str">
        <f aca="false">IF(N65="","",ROUND(R65*Settings!$B$18,0))</f>
        <v/>
      </c>
      <c r="V65" s="25" t="str">
        <f aca="false">IF(N65="","",ROUND(R65*Settings!$B$19,0)-X65)</f>
        <v/>
      </c>
      <c r="W65" s="25" t="str">
        <f aca="false">IF(N65="","",IF(Settings!$B$31,ROUND(R65*Settings!$B$22,0),0))</f>
        <v/>
      </c>
      <c r="X65" s="25" t="str">
        <f aca="false">IF(N65="","",MIN(ROUND(T65*Settings!$B$20,0),ROUND(R65*Settings!$B$19,0)))</f>
        <v/>
      </c>
      <c r="Y65" s="25" t="str">
        <f aca="false">IF(N65="","",IF(Settings!$B$31,ROUND(S65*Settings!$B$21,0),0))</f>
        <v/>
      </c>
      <c r="Z65" s="25" t="str">
        <f aca="false">IF(N65="","",U65+V65+X65+W65+Y65)</f>
        <v/>
      </c>
      <c r="AA65" s="7" t="str">
        <f aca="false">IF(COUNT(C65:H65)=0,"",TRIM(IF(UPPER(K65)="N","Not a PF member, skipped. ","")&amp;IF(AND(UPPER(K65)&lt;&gt;"N",N(M65)&lt;=0),"PF wage is zero, skipped. ","")&amp;IF(AND(UPPER(K65)&lt;&gt;"N",N(M65)&gt;0,UPPER(L65)="N"),"Pension not applicable, whole 12% goes to EPF. ","")&amp;IF(AND(ISNUMBER(H65),ABS(SUM(C65:G65)-N(H65))&gt;1),"Heads in the file add up to "&amp;SUM(C65:G65)&amp;", Gross is "&amp;H65&amp;" (a pay head may be missing). ","")&amp;IF(AND(Settings!$B$32,N(H65)&gt;0,ISNUMBER(M65),N(M65)&lt;H65*0.5-0.5),"50% check: PF wage is "&amp;TEXT(M65/H65,"0%")&amp;" of gross. ","")&amp;IF(AND(N(M65)&gt;0,UPPER(K65)&lt;&gt;"N",N(N65)+N(O65)=0),"No days to count. ","")))</f>
        <v/>
      </c>
    </row>
    <row r="66" customFormat="false" ht="15" hidden="false" customHeight="false" outlineLevel="0" collapsed="false">
      <c r="A66" s="14"/>
      <c r="B66" s="14"/>
      <c r="C66" s="17"/>
      <c r="D66" s="17"/>
      <c r="E66" s="17"/>
      <c r="F66" s="17"/>
      <c r="G66" s="17"/>
      <c r="H66" s="17"/>
      <c r="I66" s="14"/>
      <c r="J66" s="14"/>
      <c r="K66" s="14"/>
      <c r="L66" s="14"/>
      <c r="M66" s="34" t="str">
        <f aca="false">IF(COUNT(C66:H66)=0,"",IFERROR(MAX(0,ROUND(IF(Settings!$B$33,IF(H66="",SUM(C66:G66),H66)-SUMPRODUCT(($C$4:$G$4="Y")*C66:G66),SUMPRODUCT(($C$4:$G$4="Y")*C66:G66)),0)),"Check inputs"))</f>
        <v/>
      </c>
      <c r="N66" s="35" t="str">
        <f aca="false">IF(AND(N($M66)&gt;0,UPPER($K66)&lt;&gt;"N"),IF(Settings!$B$28,MAX(0,MIN(Settings!$B$16,IF(I66="",Settings!$B$16,I66)))/Settings!$B$15,1),"")</f>
        <v/>
      </c>
      <c r="O66" s="35" t="str">
        <f aca="false">IF(AND(N($M66)&gt;0,UPPER($K66)&lt;&gt;"N"),IF(Settings!$B$28,MAX(0,MIN(Settings!$B$17,IF(J66="",Settings!$B$17,J66)))/Settings!$B$15,0),"")</f>
        <v/>
      </c>
      <c r="P66" s="34" t="str">
        <f aca="false">IF(N66="","",ROUND(IF(Settings!$B$27,MIN($M66,Settings!$B$29),$M66)*N66,0))</f>
        <v/>
      </c>
      <c r="Q66" s="34" t="str">
        <f aca="false">IF(N66="","",ROUND(IF(Settings!$B$27,MIN($M66,Settings!$B$30),$M66)*O66,0))</f>
        <v/>
      </c>
      <c r="R66" s="34" t="str">
        <f aca="false">IF(N66="","",P66+Q66)</f>
        <v/>
      </c>
      <c r="S66" s="34" t="str">
        <f aca="false">IF(N66="","",ROUND(MIN($M66,Settings!$B$29)*N66,0)+ROUND(MIN($M66,Settings!$B$30)*O66,0))</f>
        <v/>
      </c>
      <c r="T66" s="34" t="str">
        <f aca="false">IF(N66="","",IF(UPPER(L66)="N",0,S66))</f>
        <v/>
      </c>
      <c r="U66" s="25" t="str">
        <f aca="false">IF(N66="","",ROUND(R66*Settings!$B$18,0))</f>
        <v/>
      </c>
      <c r="V66" s="25" t="str">
        <f aca="false">IF(N66="","",ROUND(R66*Settings!$B$19,0)-X66)</f>
        <v/>
      </c>
      <c r="W66" s="25" t="str">
        <f aca="false">IF(N66="","",IF(Settings!$B$31,ROUND(R66*Settings!$B$22,0),0))</f>
        <v/>
      </c>
      <c r="X66" s="25" t="str">
        <f aca="false">IF(N66="","",MIN(ROUND(T66*Settings!$B$20,0),ROUND(R66*Settings!$B$19,0)))</f>
        <v/>
      </c>
      <c r="Y66" s="25" t="str">
        <f aca="false">IF(N66="","",IF(Settings!$B$31,ROUND(S66*Settings!$B$21,0),0))</f>
        <v/>
      </c>
      <c r="Z66" s="25" t="str">
        <f aca="false">IF(N66="","",U66+V66+X66+W66+Y66)</f>
        <v/>
      </c>
      <c r="AA66" s="7" t="str">
        <f aca="false">IF(COUNT(C66:H66)=0,"",TRIM(IF(UPPER(K66)="N","Not a PF member, skipped. ","")&amp;IF(AND(UPPER(K66)&lt;&gt;"N",N(M66)&lt;=0),"PF wage is zero, skipped. ","")&amp;IF(AND(UPPER(K66)&lt;&gt;"N",N(M66)&gt;0,UPPER(L66)="N"),"Pension not applicable, whole 12% goes to EPF. ","")&amp;IF(AND(ISNUMBER(H66),ABS(SUM(C66:G66)-N(H66))&gt;1),"Heads in the file add up to "&amp;SUM(C66:G66)&amp;", Gross is "&amp;H66&amp;" (a pay head may be missing). ","")&amp;IF(AND(Settings!$B$32,N(H66)&gt;0,ISNUMBER(M66),N(M66)&lt;H66*0.5-0.5),"50% check: PF wage is "&amp;TEXT(M66/H66,"0%")&amp;" of gross. ","")&amp;IF(AND(N(M66)&gt;0,UPPER(K66)&lt;&gt;"N",N(N66)+N(O66)=0),"No days to count. ","")))</f>
        <v/>
      </c>
    </row>
    <row r="67" customFormat="false" ht="15" hidden="false" customHeight="false" outlineLevel="0" collapsed="false">
      <c r="A67" s="14"/>
      <c r="B67" s="14"/>
      <c r="C67" s="17"/>
      <c r="D67" s="17"/>
      <c r="E67" s="17"/>
      <c r="F67" s="17"/>
      <c r="G67" s="17"/>
      <c r="H67" s="17"/>
      <c r="I67" s="14"/>
      <c r="J67" s="14"/>
      <c r="K67" s="14"/>
      <c r="L67" s="14"/>
      <c r="M67" s="34" t="str">
        <f aca="false">IF(COUNT(C67:H67)=0,"",IFERROR(MAX(0,ROUND(IF(Settings!$B$33,IF(H67="",SUM(C67:G67),H67)-SUMPRODUCT(($C$4:$G$4="Y")*C67:G67),SUMPRODUCT(($C$4:$G$4="Y")*C67:G67)),0)),"Check inputs"))</f>
        <v/>
      </c>
      <c r="N67" s="35" t="str">
        <f aca="false">IF(AND(N($M67)&gt;0,UPPER($K67)&lt;&gt;"N"),IF(Settings!$B$28,MAX(0,MIN(Settings!$B$16,IF(I67="",Settings!$B$16,I67)))/Settings!$B$15,1),"")</f>
        <v/>
      </c>
      <c r="O67" s="35" t="str">
        <f aca="false">IF(AND(N($M67)&gt;0,UPPER($K67)&lt;&gt;"N"),IF(Settings!$B$28,MAX(0,MIN(Settings!$B$17,IF(J67="",Settings!$B$17,J67)))/Settings!$B$15,0),"")</f>
        <v/>
      </c>
      <c r="P67" s="34" t="str">
        <f aca="false">IF(N67="","",ROUND(IF(Settings!$B$27,MIN($M67,Settings!$B$29),$M67)*N67,0))</f>
        <v/>
      </c>
      <c r="Q67" s="34" t="str">
        <f aca="false">IF(N67="","",ROUND(IF(Settings!$B$27,MIN($M67,Settings!$B$30),$M67)*O67,0))</f>
        <v/>
      </c>
      <c r="R67" s="34" t="str">
        <f aca="false">IF(N67="","",P67+Q67)</f>
        <v/>
      </c>
      <c r="S67" s="34" t="str">
        <f aca="false">IF(N67="","",ROUND(MIN($M67,Settings!$B$29)*N67,0)+ROUND(MIN($M67,Settings!$B$30)*O67,0))</f>
        <v/>
      </c>
      <c r="T67" s="34" t="str">
        <f aca="false">IF(N67="","",IF(UPPER(L67)="N",0,S67))</f>
        <v/>
      </c>
      <c r="U67" s="25" t="str">
        <f aca="false">IF(N67="","",ROUND(R67*Settings!$B$18,0))</f>
        <v/>
      </c>
      <c r="V67" s="25" t="str">
        <f aca="false">IF(N67="","",ROUND(R67*Settings!$B$19,0)-X67)</f>
        <v/>
      </c>
      <c r="W67" s="25" t="str">
        <f aca="false">IF(N67="","",IF(Settings!$B$31,ROUND(R67*Settings!$B$22,0),0))</f>
        <v/>
      </c>
      <c r="X67" s="25" t="str">
        <f aca="false">IF(N67="","",MIN(ROUND(T67*Settings!$B$20,0),ROUND(R67*Settings!$B$19,0)))</f>
        <v/>
      </c>
      <c r="Y67" s="25" t="str">
        <f aca="false">IF(N67="","",IF(Settings!$B$31,ROUND(S67*Settings!$B$21,0),0))</f>
        <v/>
      </c>
      <c r="Z67" s="25" t="str">
        <f aca="false">IF(N67="","",U67+V67+X67+W67+Y67)</f>
        <v/>
      </c>
      <c r="AA67" s="7" t="str">
        <f aca="false">IF(COUNT(C67:H67)=0,"",TRIM(IF(UPPER(K67)="N","Not a PF member, skipped. ","")&amp;IF(AND(UPPER(K67)&lt;&gt;"N",N(M67)&lt;=0),"PF wage is zero, skipped. ","")&amp;IF(AND(UPPER(K67)&lt;&gt;"N",N(M67)&gt;0,UPPER(L67)="N"),"Pension not applicable, whole 12% goes to EPF. ","")&amp;IF(AND(ISNUMBER(H67),ABS(SUM(C67:G67)-N(H67))&gt;1),"Heads in the file add up to "&amp;SUM(C67:G67)&amp;", Gross is "&amp;H67&amp;" (a pay head may be missing). ","")&amp;IF(AND(Settings!$B$32,N(H67)&gt;0,ISNUMBER(M67),N(M67)&lt;H67*0.5-0.5),"50% check: PF wage is "&amp;TEXT(M67/H67,"0%")&amp;" of gross. ","")&amp;IF(AND(N(M67)&gt;0,UPPER(K67)&lt;&gt;"N",N(N67)+N(O67)=0),"No days to count. ","")))</f>
        <v/>
      </c>
    </row>
    <row r="68" customFormat="false" ht="15" hidden="false" customHeight="false" outlineLevel="0" collapsed="false">
      <c r="A68" s="14"/>
      <c r="B68" s="14"/>
      <c r="C68" s="17"/>
      <c r="D68" s="17"/>
      <c r="E68" s="17"/>
      <c r="F68" s="17"/>
      <c r="G68" s="17"/>
      <c r="H68" s="17"/>
      <c r="I68" s="14"/>
      <c r="J68" s="14"/>
      <c r="K68" s="14"/>
      <c r="L68" s="14"/>
      <c r="M68" s="34" t="str">
        <f aca="false">IF(COUNT(C68:H68)=0,"",IFERROR(MAX(0,ROUND(IF(Settings!$B$33,IF(H68="",SUM(C68:G68),H68)-SUMPRODUCT(($C$4:$G$4="Y")*C68:G68),SUMPRODUCT(($C$4:$G$4="Y")*C68:G68)),0)),"Check inputs"))</f>
        <v/>
      </c>
      <c r="N68" s="35" t="str">
        <f aca="false">IF(AND(N($M68)&gt;0,UPPER($K68)&lt;&gt;"N"),IF(Settings!$B$28,MAX(0,MIN(Settings!$B$16,IF(I68="",Settings!$B$16,I68)))/Settings!$B$15,1),"")</f>
        <v/>
      </c>
      <c r="O68" s="35" t="str">
        <f aca="false">IF(AND(N($M68)&gt;0,UPPER($K68)&lt;&gt;"N"),IF(Settings!$B$28,MAX(0,MIN(Settings!$B$17,IF(J68="",Settings!$B$17,J68)))/Settings!$B$15,0),"")</f>
        <v/>
      </c>
      <c r="P68" s="34" t="str">
        <f aca="false">IF(N68="","",ROUND(IF(Settings!$B$27,MIN($M68,Settings!$B$29),$M68)*N68,0))</f>
        <v/>
      </c>
      <c r="Q68" s="34" t="str">
        <f aca="false">IF(N68="","",ROUND(IF(Settings!$B$27,MIN($M68,Settings!$B$30),$M68)*O68,0))</f>
        <v/>
      </c>
      <c r="R68" s="34" t="str">
        <f aca="false">IF(N68="","",P68+Q68)</f>
        <v/>
      </c>
      <c r="S68" s="34" t="str">
        <f aca="false">IF(N68="","",ROUND(MIN($M68,Settings!$B$29)*N68,0)+ROUND(MIN($M68,Settings!$B$30)*O68,0))</f>
        <v/>
      </c>
      <c r="T68" s="34" t="str">
        <f aca="false">IF(N68="","",IF(UPPER(L68)="N",0,S68))</f>
        <v/>
      </c>
      <c r="U68" s="25" t="str">
        <f aca="false">IF(N68="","",ROUND(R68*Settings!$B$18,0))</f>
        <v/>
      </c>
      <c r="V68" s="25" t="str">
        <f aca="false">IF(N68="","",ROUND(R68*Settings!$B$19,0)-X68)</f>
        <v/>
      </c>
      <c r="W68" s="25" t="str">
        <f aca="false">IF(N68="","",IF(Settings!$B$31,ROUND(R68*Settings!$B$22,0),0))</f>
        <v/>
      </c>
      <c r="X68" s="25" t="str">
        <f aca="false">IF(N68="","",MIN(ROUND(T68*Settings!$B$20,0),ROUND(R68*Settings!$B$19,0)))</f>
        <v/>
      </c>
      <c r="Y68" s="25" t="str">
        <f aca="false">IF(N68="","",IF(Settings!$B$31,ROUND(S68*Settings!$B$21,0),0))</f>
        <v/>
      </c>
      <c r="Z68" s="25" t="str">
        <f aca="false">IF(N68="","",U68+V68+X68+W68+Y68)</f>
        <v/>
      </c>
      <c r="AA68" s="7" t="str">
        <f aca="false">IF(COUNT(C68:H68)=0,"",TRIM(IF(UPPER(K68)="N","Not a PF member, skipped. ","")&amp;IF(AND(UPPER(K68)&lt;&gt;"N",N(M68)&lt;=0),"PF wage is zero, skipped. ","")&amp;IF(AND(UPPER(K68)&lt;&gt;"N",N(M68)&gt;0,UPPER(L68)="N"),"Pension not applicable, whole 12% goes to EPF. ","")&amp;IF(AND(ISNUMBER(H68),ABS(SUM(C68:G68)-N(H68))&gt;1),"Heads in the file add up to "&amp;SUM(C68:G68)&amp;", Gross is "&amp;H68&amp;" (a pay head may be missing). ","")&amp;IF(AND(Settings!$B$32,N(H68)&gt;0,ISNUMBER(M68),N(M68)&lt;H68*0.5-0.5),"50% check: PF wage is "&amp;TEXT(M68/H68,"0%")&amp;" of gross. ","")&amp;IF(AND(N(M68)&gt;0,UPPER(K68)&lt;&gt;"N",N(N68)+N(O68)=0),"No days to count. ","")))</f>
        <v/>
      </c>
    </row>
    <row r="69" customFormat="false" ht="15" hidden="false" customHeight="false" outlineLevel="0" collapsed="false">
      <c r="A69" s="14"/>
      <c r="B69" s="14"/>
      <c r="C69" s="17"/>
      <c r="D69" s="17"/>
      <c r="E69" s="17"/>
      <c r="F69" s="17"/>
      <c r="G69" s="17"/>
      <c r="H69" s="17"/>
      <c r="I69" s="14"/>
      <c r="J69" s="14"/>
      <c r="K69" s="14"/>
      <c r="L69" s="14"/>
      <c r="M69" s="34" t="str">
        <f aca="false">IF(COUNT(C69:H69)=0,"",IFERROR(MAX(0,ROUND(IF(Settings!$B$33,IF(H69="",SUM(C69:G69),H69)-SUMPRODUCT(($C$4:$G$4="Y")*C69:G69),SUMPRODUCT(($C$4:$G$4="Y")*C69:G69)),0)),"Check inputs"))</f>
        <v/>
      </c>
      <c r="N69" s="35" t="str">
        <f aca="false">IF(AND(N($M69)&gt;0,UPPER($K69)&lt;&gt;"N"),IF(Settings!$B$28,MAX(0,MIN(Settings!$B$16,IF(I69="",Settings!$B$16,I69)))/Settings!$B$15,1),"")</f>
        <v/>
      </c>
      <c r="O69" s="35" t="str">
        <f aca="false">IF(AND(N($M69)&gt;0,UPPER($K69)&lt;&gt;"N"),IF(Settings!$B$28,MAX(0,MIN(Settings!$B$17,IF(J69="",Settings!$B$17,J69)))/Settings!$B$15,0),"")</f>
        <v/>
      </c>
      <c r="P69" s="34" t="str">
        <f aca="false">IF(N69="","",ROUND(IF(Settings!$B$27,MIN($M69,Settings!$B$29),$M69)*N69,0))</f>
        <v/>
      </c>
      <c r="Q69" s="34" t="str">
        <f aca="false">IF(N69="","",ROUND(IF(Settings!$B$27,MIN($M69,Settings!$B$30),$M69)*O69,0))</f>
        <v/>
      </c>
      <c r="R69" s="34" t="str">
        <f aca="false">IF(N69="","",P69+Q69)</f>
        <v/>
      </c>
      <c r="S69" s="34" t="str">
        <f aca="false">IF(N69="","",ROUND(MIN($M69,Settings!$B$29)*N69,0)+ROUND(MIN($M69,Settings!$B$30)*O69,0))</f>
        <v/>
      </c>
      <c r="T69" s="34" t="str">
        <f aca="false">IF(N69="","",IF(UPPER(L69)="N",0,S69))</f>
        <v/>
      </c>
      <c r="U69" s="25" t="str">
        <f aca="false">IF(N69="","",ROUND(R69*Settings!$B$18,0))</f>
        <v/>
      </c>
      <c r="V69" s="25" t="str">
        <f aca="false">IF(N69="","",ROUND(R69*Settings!$B$19,0)-X69)</f>
        <v/>
      </c>
      <c r="W69" s="25" t="str">
        <f aca="false">IF(N69="","",IF(Settings!$B$31,ROUND(R69*Settings!$B$22,0),0))</f>
        <v/>
      </c>
      <c r="X69" s="25" t="str">
        <f aca="false">IF(N69="","",MIN(ROUND(T69*Settings!$B$20,0),ROUND(R69*Settings!$B$19,0)))</f>
        <v/>
      </c>
      <c r="Y69" s="25" t="str">
        <f aca="false">IF(N69="","",IF(Settings!$B$31,ROUND(S69*Settings!$B$21,0),0))</f>
        <v/>
      </c>
      <c r="Z69" s="25" t="str">
        <f aca="false">IF(N69="","",U69+V69+X69+W69+Y69)</f>
        <v/>
      </c>
      <c r="AA69" s="7" t="str">
        <f aca="false">IF(COUNT(C69:H69)=0,"",TRIM(IF(UPPER(K69)="N","Not a PF member, skipped. ","")&amp;IF(AND(UPPER(K69)&lt;&gt;"N",N(M69)&lt;=0),"PF wage is zero, skipped. ","")&amp;IF(AND(UPPER(K69)&lt;&gt;"N",N(M69)&gt;0,UPPER(L69)="N"),"Pension not applicable, whole 12% goes to EPF. ","")&amp;IF(AND(ISNUMBER(H69),ABS(SUM(C69:G69)-N(H69))&gt;1),"Heads in the file add up to "&amp;SUM(C69:G69)&amp;", Gross is "&amp;H69&amp;" (a pay head may be missing). ","")&amp;IF(AND(Settings!$B$32,N(H69)&gt;0,ISNUMBER(M69),N(M69)&lt;H69*0.5-0.5),"50% check: PF wage is "&amp;TEXT(M69/H69,"0%")&amp;" of gross. ","")&amp;IF(AND(N(M69)&gt;0,UPPER(K69)&lt;&gt;"N",N(N69)+N(O69)=0),"No days to count. ","")))</f>
        <v/>
      </c>
    </row>
    <row r="70" customFormat="false" ht="15" hidden="false" customHeight="false" outlineLevel="0" collapsed="false">
      <c r="A70" s="14"/>
      <c r="B70" s="14"/>
      <c r="C70" s="17"/>
      <c r="D70" s="17"/>
      <c r="E70" s="17"/>
      <c r="F70" s="17"/>
      <c r="G70" s="17"/>
      <c r="H70" s="17"/>
      <c r="I70" s="14"/>
      <c r="J70" s="14"/>
      <c r="K70" s="14"/>
      <c r="L70" s="14"/>
      <c r="M70" s="34" t="str">
        <f aca="false">IF(COUNT(C70:H70)=0,"",IFERROR(MAX(0,ROUND(IF(Settings!$B$33,IF(H70="",SUM(C70:G70),H70)-SUMPRODUCT(($C$4:$G$4="Y")*C70:G70),SUMPRODUCT(($C$4:$G$4="Y")*C70:G70)),0)),"Check inputs"))</f>
        <v/>
      </c>
      <c r="N70" s="35" t="str">
        <f aca="false">IF(AND(N($M70)&gt;0,UPPER($K70)&lt;&gt;"N"),IF(Settings!$B$28,MAX(0,MIN(Settings!$B$16,IF(I70="",Settings!$B$16,I70)))/Settings!$B$15,1),"")</f>
        <v/>
      </c>
      <c r="O70" s="35" t="str">
        <f aca="false">IF(AND(N($M70)&gt;0,UPPER($K70)&lt;&gt;"N"),IF(Settings!$B$28,MAX(0,MIN(Settings!$B$17,IF(J70="",Settings!$B$17,J70)))/Settings!$B$15,0),"")</f>
        <v/>
      </c>
      <c r="P70" s="34" t="str">
        <f aca="false">IF(N70="","",ROUND(IF(Settings!$B$27,MIN($M70,Settings!$B$29),$M70)*N70,0))</f>
        <v/>
      </c>
      <c r="Q70" s="34" t="str">
        <f aca="false">IF(N70="","",ROUND(IF(Settings!$B$27,MIN($M70,Settings!$B$30),$M70)*O70,0))</f>
        <v/>
      </c>
      <c r="R70" s="34" t="str">
        <f aca="false">IF(N70="","",P70+Q70)</f>
        <v/>
      </c>
      <c r="S70" s="34" t="str">
        <f aca="false">IF(N70="","",ROUND(MIN($M70,Settings!$B$29)*N70,0)+ROUND(MIN($M70,Settings!$B$30)*O70,0))</f>
        <v/>
      </c>
      <c r="T70" s="34" t="str">
        <f aca="false">IF(N70="","",IF(UPPER(L70)="N",0,S70))</f>
        <v/>
      </c>
      <c r="U70" s="25" t="str">
        <f aca="false">IF(N70="","",ROUND(R70*Settings!$B$18,0))</f>
        <v/>
      </c>
      <c r="V70" s="25" t="str">
        <f aca="false">IF(N70="","",ROUND(R70*Settings!$B$19,0)-X70)</f>
        <v/>
      </c>
      <c r="W70" s="25" t="str">
        <f aca="false">IF(N70="","",IF(Settings!$B$31,ROUND(R70*Settings!$B$22,0),0))</f>
        <v/>
      </c>
      <c r="X70" s="25" t="str">
        <f aca="false">IF(N70="","",MIN(ROUND(T70*Settings!$B$20,0),ROUND(R70*Settings!$B$19,0)))</f>
        <v/>
      </c>
      <c r="Y70" s="25" t="str">
        <f aca="false">IF(N70="","",IF(Settings!$B$31,ROUND(S70*Settings!$B$21,0),0))</f>
        <v/>
      </c>
      <c r="Z70" s="25" t="str">
        <f aca="false">IF(N70="","",U70+V70+X70+W70+Y70)</f>
        <v/>
      </c>
      <c r="AA70" s="7" t="str">
        <f aca="false">IF(COUNT(C70:H70)=0,"",TRIM(IF(UPPER(K70)="N","Not a PF member, skipped. ","")&amp;IF(AND(UPPER(K70)&lt;&gt;"N",N(M70)&lt;=0),"PF wage is zero, skipped. ","")&amp;IF(AND(UPPER(K70)&lt;&gt;"N",N(M70)&gt;0,UPPER(L70)="N"),"Pension not applicable, whole 12% goes to EPF. ","")&amp;IF(AND(ISNUMBER(H70),ABS(SUM(C70:G70)-N(H70))&gt;1),"Heads in the file add up to "&amp;SUM(C70:G70)&amp;", Gross is "&amp;H70&amp;" (a pay head may be missing). ","")&amp;IF(AND(Settings!$B$32,N(H70)&gt;0,ISNUMBER(M70),N(M70)&lt;H70*0.5-0.5),"50% check: PF wage is "&amp;TEXT(M70/H70,"0%")&amp;" of gross. ","")&amp;IF(AND(N(M70)&gt;0,UPPER(K70)&lt;&gt;"N",N(N70)+N(O70)=0),"No days to count. ","")))</f>
        <v/>
      </c>
    </row>
    <row r="71" customFormat="false" ht="15" hidden="false" customHeight="false" outlineLevel="0" collapsed="false">
      <c r="A71" s="14"/>
      <c r="B71" s="14"/>
      <c r="C71" s="17"/>
      <c r="D71" s="17"/>
      <c r="E71" s="17"/>
      <c r="F71" s="17"/>
      <c r="G71" s="17"/>
      <c r="H71" s="17"/>
      <c r="I71" s="14"/>
      <c r="J71" s="14"/>
      <c r="K71" s="14"/>
      <c r="L71" s="14"/>
      <c r="M71" s="34" t="str">
        <f aca="false">IF(COUNT(C71:H71)=0,"",IFERROR(MAX(0,ROUND(IF(Settings!$B$33,IF(H71="",SUM(C71:G71),H71)-SUMPRODUCT(($C$4:$G$4="Y")*C71:G71),SUMPRODUCT(($C$4:$G$4="Y")*C71:G71)),0)),"Check inputs"))</f>
        <v/>
      </c>
      <c r="N71" s="35" t="str">
        <f aca="false">IF(AND(N($M71)&gt;0,UPPER($K71)&lt;&gt;"N"),IF(Settings!$B$28,MAX(0,MIN(Settings!$B$16,IF(I71="",Settings!$B$16,I71)))/Settings!$B$15,1),"")</f>
        <v/>
      </c>
      <c r="O71" s="35" t="str">
        <f aca="false">IF(AND(N($M71)&gt;0,UPPER($K71)&lt;&gt;"N"),IF(Settings!$B$28,MAX(0,MIN(Settings!$B$17,IF(J71="",Settings!$B$17,J71)))/Settings!$B$15,0),"")</f>
        <v/>
      </c>
      <c r="P71" s="34" t="str">
        <f aca="false">IF(N71="","",ROUND(IF(Settings!$B$27,MIN($M71,Settings!$B$29),$M71)*N71,0))</f>
        <v/>
      </c>
      <c r="Q71" s="34" t="str">
        <f aca="false">IF(N71="","",ROUND(IF(Settings!$B$27,MIN($M71,Settings!$B$30),$M71)*O71,0))</f>
        <v/>
      </c>
      <c r="R71" s="34" t="str">
        <f aca="false">IF(N71="","",P71+Q71)</f>
        <v/>
      </c>
      <c r="S71" s="34" t="str">
        <f aca="false">IF(N71="","",ROUND(MIN($M71,Settings!$B$29)*N71,0)+ROUND(MIN($M71,Settings!$B$30)*O71,0))</f>
        <v/>
      </c>
      <c r="T71" s="34" t="str">
        <f aca="false">IF(N71="","",IF(UPPER(L71)="N",0,S71))</f>
        <v/>
      </c>
      <c r="U71" s="25" t="str">
        <f aca="false">IF(N71="","",ROUND(R71*Settings!$B$18,0))</f>
        <v/>
      </c>
      <c r="V71" s="25" t="str">
        <f aca="false">IF(N71="","",ROUND(R71*Settings!$B$19,0)-X71)</f>
        <v/>
      </c>
      <c r="W71" s="25" t="str">
        <f aca="false">IF(N71="","",IF(Settings!$B$31,ROUND(R71*Settings!$B$22,0),0))</f>
        <v/>
      </c>
      <c r="X71" s="25" t="str">
        <f aca="false">IF(N71="","",MIN(ROUND(T71*Settings!$B$20,0),ROUND(R71*Settings!$B$19,0)))</f>
        <v/>
      </c>
      <c r="Y71" s="25" t="str">
        <f aca="false">IF(N71="","",IF(Settings!$B$31,ROUND(S71*Settings!$B$21,0),0))</f>
        <v/>
      </c>
      <c r="Z71" s="25" t="str">
        <f aca="false">IF(N71="","",U71+V71+X71+W71+Y71)</f>
        <v/>
      </c>
      <c r="AA71" s="7" t="str">
        <f aca="false">IF(COUNT(C71:H71)=0,"",TRIM(IF(UPPER(K71)="N","Not a PF member, skipped. ","")&amp;IF(AND(UPPER(K71)&lt;&gt;"N",N(M71)&lt;=0),"PF wage is zero, skipped. ","")&amp;IF(AND(UPPER(K71)&lt;&gt;"N",N(M71)&gt;0,UPPER(L71)="N"),"Pension not applicable, whole 12% goes to EPF. ","")&amp;IF(AND(ISNUMBER(H71),ABS(SUM(C71:G71)-N(H71))&gt;1),"Heads in the file add up to "&amp;SUM(C71:G71)&amp;", Gross is "&amp;H71&amp;" (a pay head may be missing). ","")&amp;IF(AND(Settings!$B$32,N(H71)&gt;0,ISNUMBER(M71),N(M71)&lt;H71*0.5-0.5),"50% check: PF wage is "&amp;TEXT(M71/H71,"0%")&amp;" of gross. ","")&amp;IF(AND(N(M71)&gt;0,UPPER(K71)&lt;&gt;"N",N(N71)+N(O71)=0),"No days to count. ","")))</f>
        <v/>
      </c>
    </row>
    <row r="72" customFormat="false" ht="15" hidden="false" customHeight="false" outlineLevel="0" collapsed="false">
      <c r="A72" s="14"/>
      <c r="B72" s="14"/>
      <c r="C72" s="17"/>
      <c r="D72" s="17"/>
      <c r="E72" s="17"/>
      <c r="F72" s="17"/>
      <c r="G72" s="17"/>
      <c r="H72" s="17"/>
      <c r="I72" s="14"/>
      <c r="J72" s="14"/>
      <c r="K72" s="14"/>
      <c r="L72" s="14"/>
      <c r="M72" s="34" t="str">
        <f aca="false">IF(COUNT(C72:H72)=0,"",IFERROR(MAX(0,ROUND(IF(Settings!$B$33,IF(H72="",SUM(C72:G72),H72)-SUMPRODUCT(($C$4:$G$4="Y")*C72:G72),SUMPRODUCT(($C$4:$G$4="Y")*C72:G72)),0)),"Check inputs"))</f>
        <v/>
      </c>
      <c r="N72" s="35" t="str">
        <f aca="false">IF(AND(N($M72)&gt;0,UPPER($K72)&lt;&gt;"N"),IF(Settings!$B$28,MAX(0,MIN(Settings!$B$16,IF(I72="",Settings!$B$16,I72)))/Settings!$B$15,1),"")</f>
        <v/>
      </c>
      <c r="O72" s="35" t="str">
        <f aca="false">IF(AND(N($M72)&gt;0,UPPER($K72)&lt;&gt;"N"),IF(Settings!$B$28,MAX(0,MIN(Settings!$B$17,IF(J72="",Settings!$B$17,J72)))/Settings!$B$15,0),"")</f>
        <v/>
      </c>
      <c r="P72" s="34" t="str">
        <f aca="false">IF(N72="","",ROUND(IF(Settings!$B$27,MIN($M72,Settings!$B$29),$M72)*N72,0))</f>
        <v/>
      </c>
      <c r="Q72" s="34" t="str">
        <f aca="false">IF(N72="","",ROUND(IF(Settings!$B$27,MIN($M72,Settings!$B$30),$M72)*O72,0))</f>
        <v/>
      </c>
      <c r="R72" s="34" t="str">
        <f aca="false">IF(N72="","",P72+Q72)</f>
        <v/>
      </c>
      <c r="S72" s="34" t="str">
        <f aca="false">IF(N72="","",ROUND(MIN($M72,Settings!$B$29)*N72,0)+ROUND(MIN($M72,Settings!$B$30)*O72,0))</f>
        <v/>
      </c>
      <c r="T72" s="34" t="str">
        <f aca="false">IF(N72="","",IF(UPPER(L72)="N",0,S72))</f>
        <v/>
      </c>
      <c r="U72" s="25" t="str">
        <f aca="false">IF(N72="","",ROUND(R72*Settings!$B$18,0))</f>
        <v/>
      </c>
      <c r="V72" s="25" t="str">
        <f aca="false">IF(N72="","",ROUND(R72*Settings!$B$19,0)-X72)</f>
        <v/>
      </c>
      <c r="W72" s="25" t="str">
        <f aca="false">IF(N72="","",IF(Settings!$B$31,ROUND(R72*Settings!$B$22,0),0))</f>
        <v/>
      </c>
      <c r="X72" s="25" t="str">
        <f aca="false">IF(N72="","",MIN(ROUND(T72*Settings!$B$20,0),ROUND(R72*Settings!$B$19,0)))</f>
        <v/>
      </c>
      <c r="Y72" s="25" t="str">
        <f aca="false">IF(N72="","",IF(Settings!$B$31,ROUND(S72*Settings!$B$21,0),0))</f>
        <v/>
      </c>
      <c r="Z72" s="25" t="str">
        <f aca="false">IF(N72="","",U72+V72+X72+W72+Y72)</f>
        <v/>
      </c>
      <c r="AA72" s="7" t="str">
        <f aca="false">IF(COUNT(C72:H72)=0,"",TRIM(IF(UPPER(K72)="N","Not a PF member, skipped. ","")&amp;IF(AND(UPPER(K72)&lt;&gt;"N",N(M72)&lt;=0),"PF wage is zero, skipped. ","")&amp;IF(AND(UPPER(K72)&lt;&gt;"N",N(M72)&gt;0,UPPER(L72)="N"),"Pension not applicable, whole 12% goes to EPF. ","")&amp;IF(AND(ISNUMBER(H72),ABS(SUM(C72:G72)-N(H72))&gt;1),"Heads in the file add up to "&amp;SUM(C72:G72)&amp;", Gross is "&amp;H72&amp;" (a pay head may be missing). ","")&amp;IF(AND(Settings!$B$32,N(H72)&gt;0,ISNUMBER(M72),N(M72)&lt;H72*0.5-0.5),"50% check: PF wage is "&amp;TEXT(M72/H72,"0%")&amp;" of gross. ","")&amp;IF(AND(N(M72)&gt;0,UPPER(K72)&lt;&gt;"N",N(N72)+N(O72)=0),"No days to count. ","")))</f>
        <v/>
      </c>
    </row>
    <row r="73" customFormat="false" ht="15" hidden="false" customHeight="false" outlineLevel="0" collapsed="false">
      <c r="A73" s="14"/>
      <c r="B73" s="14"/>
      <c r="C73" s="17"/>
      <c r="D73" s="17"/>
      <c r="E73" s="17"/>
      <c r="F73" s="17"/>
      <c r="G73" s="17"/>
      <c r="H73" s="17"/>
      <c r="I73" s="14"/>
      <c r="J73" s="14"/>
      <c r="K73" s="14"/>
      <c r="L73" s="14"/>
      <c r="M73" s="34" t="str">
        <f aca="false">IF(COUNT(C73:H73)=0,"",IFERROR(MAX(0,ROUND(IF(Settings!$B$33,IF(H73="",SUM(C73:G73),H73)-SUMPRODUCT(($C$4:$G$4="Y")*C73:G73),SUMPRODUCT(($C$4:$G$4="Y")*C73:G73)),0)),"Check inputs"))</f>
        <v/>
      </c>
      <c r="N73" s="35" t="str">
        <f aca="false">IF(AND(N($M73)&gt;0,UPPER($K73)&lt;&gt;"N"),IF(Settings!$B$28,MAX(0,MIN(Settings!$B$16,IF(I73="",Settings!$B$16,I73)))/Settings!$B$15,1),"")</f>
        <v/>
      </c>
      <c r="O73" s="35" t="str">
        <f aca="false">IF(AND(N($M73)&gt;0,UPPER($K73)&lt;&gt;"N"),IF(Settings!$B$28,MAX(0,MIN(Settings!$B$17,IF(J73="",Settings!$B$17,J73)))/Settings!$B$15,0),"")</f>
        <v/>
      </c>
      <c r="P73" s="34" t="str">
        <f aca="false">IF(N73="","",ROUND(IF(Settings!$B$27,MIN($M73,Settings!$B$29),$M73)*N73,0))</f>
        <v/>
      </c>
      <c r="Q73" s="34" t="str">
        <f aca="false">IF(N73="","",ROUND(IF(Settings!$B$27,MIN($M73,Settings!$B$30),$M73)*O73,0))</f>
        <v/>
      </c>
      <c r="R73" s="34" t="str">
        <f aca="false">IF(N73="","",P73+Q73)</f>
        <v/>
      </c>
      <c r="S73" s="34" t="str">
        <f aca="false">IF(N73="","",ROUND(MIN($M73,Settings!$B$29)*N73,0)+ROUND(MIN($M73,Settings!$B$30)*O73,0))</f>
        <v/>
      </c>
      <c r="T73" s="34" t="str">
        <f aca="false">IF(N73="","",IF(UPPER(L73)="N",0,S73))</f>
        <v/>
      </c>
      <c r="U73" s="25" t="str">
        <f aca="false">IF(N73="","",ROUND(R73*Settings!$B$18,0))</f>
        <v/>
      </c>
      <c r="V73" s="25" t="str">
        <f aca="false">IF(N73="","",ROUND(R73*Settings!$B$19,0)-X73)</f>
        <v/>
      </c>
      <c r="W73" s="25" t="str">
        <f aca="false">IF(N73="","",IF(Settings!$B$31,ROUND(R73*Settings!$B$22,0),0))</f>
        <v/>
      </c>
      <c r="X73" s="25" t="str">
        <f aca="false">IF(N73="","",MIN(ROUND(T73*Settings!$B$20,0),ROUND(R73*Settings!$B$19,0)))</f>
        <v/>
      </c>
      <c r="Y73" s="25" t="str">
        <f aca="false">IF(N73="","",IF(Settings!$B$31,ROUND(S73*Settings!$B$21,0),0))</f>
        <v/>
      </c>
      <c r="Z73" s="25" t="str">
        <f aca="false">IF(N73="","",U73+V73+X73+W73+Y73)</f>
        <v/>
      </c>
      <c r="AA73" s="7" t="str">
        <f aca="false">IF(COUNT(C73:H73)=0,"",TRIM(IF(UPPER(K73)="N","Not a PF member, skipped. ","")&amp;IF(AND(UPPER(K73)&lt;&gt;"N",N(M73)&lt;=0),"PF wage is zero, skipped. ","")&amp;IF(AND(UPPER(K73)&lt;&gt;"N",N(M73)&gt;0,UPPER(L73)="N"),"Pension not applicable, whole 12% goes to EPF. ","")&amp;IF(AND(ISNUMBER(H73),ABS(SUM(C73:G73)-N(H73))&gt;1),"Heads in the file add up to "&amp;SUM(C73:G73)&amp;", Gross is "&amp;H73&amp;" (a pay head may be missing). ","")&amp;IF(AND(Settings!$B$32,N(H73)&gt;0,ISNUMBER(M73),N(M73)&lt;H73*0.5-0.5),"50% check: PF wage is "&amp;TEXT(M73/H73,"0%")&amp;" of gross. ","")&amp;IF(AND(N(M73)&gt;0,UPPER(K73)&lt;&gt;"N",N(N73)+N(O73)=0),"No days to count. ","")))</f>
        <v/>
      </c>
    </row>
    <row r="74" customFormat="false" ht="15" hidden="false" customHeight="false" outlineLevel="0" collapsed="false">
      <c r="A74" s="14"/>
      <c r="B74" s="14"/>
      <c r="C74" s="17"/>
      <c r="D74" s="17"/>
      <c r="E74" s="17"/>
      <c r="F74" s="17"/>
      <c r="G74" s="17"/>
      <c r="H74" s="17"/>
      <c r="I74" s="14"/>
      <c r="J74" s="14"/>
      <c r="K74" s="14"/>
      <c r="L74" s="14"/>
      <c r="M74" s="34" t="str">
        <f aca="false">IF(COUNT(C74:H74)=0,"",IFERROR(MAX(0,ROUND(IF(Settings!$B$33,IF(H74="",SUM(C74:G74),H74)-SUMPRODUCT(($C$4:$G$4="Y")*C74:G74),SUMPRODUCT(($C$4:$G$4="Y")*C74:G74)),0)),"Check inputs"))</f>
        <v/>
      </c>
      <c r="N74" s="35" t="str">
        <f aca="false">IF(AND(N($M74)&gt;0,UPPER($K74)&lt;&gt;"N"),IF(Settings!$B$28,MAX(0,MIN(Settings!$B$16,IF(I74="",Settings!$B$16,I74)))/Settings!$B$15,1),"")</f>
        <v/>
      </c>
      <c r="O74" s="35" t="str">
        <f aca="false">IF(AND(N($M74)&gt;0,UPPER($K74)&lt;&gt;"N"),IF(Settings!$B$28,MAX(0,MIN(Settings!$B$17,IF(J74="",Settings!$B$17,J74)))/Settings!$B$15,0),"")</f>
        <v/>
      </c>
      <c r="P74" s="34" t="str">
        <f aca="false">IF(N74="","",ROUND(IF(Settings!$B$27,MIN($M74,Settings!$B$29),$M74)*N74,0))</f>
        <v/>
      </c>
      <c r="Q74" s="34" t="str">
        <f aca="false">IF(N74="","",ROUND(IF(Settings!$B$27,MIN($M74,Settings!$B$30),$M74)*O74,0))</f>
        <v/>
      </c>
      <c r="R74" s="34" t="str">
        <f aca="false">IF(N74="","",P74+Q74)</f>
        <v/>
      </c>
      <c r="S74" s="34" t="str">
        <f aca="false">IF(N74="","",ROUND(MIN($M74,Settings!$B$29)*N74,0)+ROUND(MIN($M74,Settings!$B$30)*O74,0))</f>
        <v/>
      </c>
      <c r="T74" s="34" t="str">
        <f aca="false">IF(N74="","",IF(UPPER(L74)="N",0,S74))</f>
        <v/>
      </c>
      <c r="U74" s="25" t="str">
        <f aca="false">IF(N74="","",ROUND(R74*Settings!$B$18,0))</f>
        <v/>
      </c>
      <c r="V74" s="25" t="str">
        <f aca="false">IF(N74="","",ROUND(R74*Settings!$B$19,0)-X74)</f>
        <v/>
      </c>
      <c r="W74" s="25" t="str">
        <f aca="false">IF(N74="","",IF(Settings!$B$31,ROUND(R74*Settings!$B$22,0),0))</f>
        <v/>
      </c>
      <c r="X74" s="25" t="str">
        <f aca="false">IF(N74="","",MIN(ROUND(T74*Settings!$B$20,0),ROUND(R74*Settings!$B$19,0)))</f>
        <v/>
      </c>
      <c r="Y74" s="25" t="str">
        <f aca="false">IF(N74="","",IF(Settings!$B$31,ROUND(S74*Settings!$B$21,0),0))</f>
        <v/>
      </c>
      <c r="Z74" s="25" t="str">
        <f aca="false">IF(N74="","",U74+V74+X74+W74+Y74)</f>
        <v/>
      </c>
      <c r="AA74" s="7" t="str">
        <f aca="false">IF(COUNT(C74:H74)=0,"",TRIM(IF(UPPER(K74)="N","Not a PF member, skipped. ","")&amp;IF(AND(UPPER(K74)&lt;&gt;"N",N(M74)&lt;=0),"PF wage is zero, skipped. ","")&amp;IF(AND(UPPER(K74)&lt;&gt;"N",N(M74)&gt;0,UPPER(L74)="N"),"Pension not applicable, whole 12% goes to EPF. ","")&amp;IF(AND(ISNUMBER(H74),ABS(SUM(C74:G74)-N(H74))&gt;1),"Heads in the file add up to "&amp;SUM(C74:G74)&amp;", Gross is "&amp;H74&amp;" (a pay head may be missing). ","")&amp;IF(AND(Settings!$B$32,N(H74)&gt;0,ISNUMBER(M74),N(M74)&lt;H74*0.5-0.5),"50% check: PF wage is "&amp;TEXT(M74/H74,"0%")&amp;" of gross. ","")&amp;IF(AND(N(M74)&gt;0,UPPER(K74)&lt;&gt;"N",N(N74)+N(O74)=0),"No days to count. ","")))</f>
        <v/>
      </c>
    </row>
    <row r="75" customFormat="false" ht="15" hidden="false" customHeight="false" outlineLevel="0" collapsed="false">
      <c r="A75" s="14"/>
      <c r="B75" s="14"/>
      <c r="C75" s="17"/>
      <c r="D75" s="17"/>
      <c r="E75" s="17"/>
      <c r="F75" s="17"/>
      <c r="G75" s="17"/>
      <c r="H75" s="17"/>
      <c r="I75" s="14"/>
      <c r="J75" s="14"/>
      <c r="K75" s="14"/>
      <c r="L75" s="14"/>
      <c r="M75" s="34" t="str">
        <f aca="false">IF(COUNT(C75:H75)=0,"",IFERROR(MAX(0,ROUND(IF(Settings!$B$33,IF(H75="",SUM(C75:G75),H75)-SUMPRODUCT(($C$4:$G$4="Y")*C75:G75),SUMPRODUCT(($C$4:$G$4="Y")*C75:G75)),0)),"Check inputs"))</f>
        <v/>
      </c>
      <c r="N75" s="35" t="str">
        <f aca="false">IF(AND(N($M75)&gt;0,UPPER($K75)&lt;&gt;"N"),IF(Settings!$B$28,MAX(0,MIN(Settings!$B$16,IF(I75="",Settings!$B$16,I75)))/Settings!$B$15,1),"")</f>
        <v/>
      </c>
      <c r="O75" s="35" t="str">
        <f aca="false">IF(AND(N($M75)&gt;0,UPPER($K75)&lt;&gt;"N"),IF(Settings!$B$28,MAX(0,MIN(Settings!$B$17,IF(J75="",Settings!$B$17,J75)))/Settings!$B$15,0),"")</f>
        <v/>
      </c>
      <c r="P75" s="34" t="str">
        <f aca="false">IF(N75="","",ROUND(IF(Settings!$B$27,MIN($M75,Settings!$B$29),$M75)*N75,0))</f>
        <v/>
      </c>
      <c r="Q75" s="34" t="str">
        <f aca="false">IF(N75="","",ROUND(IF(Settings!$B$27,MIN($M75,Settings!$B$30),$M75)*O75,0))</f>
        <v/>
      </c>
      <c r="R75" s="34" t="str">
        <f aca="false">IF(N75="","",P75+Q75)</f>
        <v/>
      </c>
      <c r="S75" s="34" t="str">
        <f aca="false">IF(N75="","",ROUND(MIN($M75,Settings!$B$29)*N75,0)+ROUND(MIN($M75,Settings!$B$30)*O75,0))</f>
        <v/>
      </c>
      <c r="T75" s="34" t="str">
        <f aca="false">IF(N75="","",IF(UPPER(L75)="N",0,S75))</f>
        <v/>
      </c>
      <c r="U75" s="25" t="str">
        <f aca="false">IF(N75="","",ROUND(R75*Settings!$B$18,0))</f>
        <v/>
      </c>
      <c r="V75" s="25" t="str">
        <f aca="false">IF(N75="","",ROUND(R75*Settings!$B$19,0)-X75)</f>
        <v/>
      </c>
      <c r="W75" s="25" t="str">
        <f aca="false">IF(N75="","",IF(Settings!$B$31,ROUND(R75*Settings!$B$22,0),0))</f>
        <v/>
      </c>
      <c r="X75" s="25" t="str">
        <f aca="false">IF(N75="","",MIN(ROUND(T75*Settings!$B$20,0),ROUND(R75*Settings!$B$19,0)))</f>
        <v/>
      </c>
      <c r="Y75" s="25" t="str">
        <f aca="false">IF(N75="","",IF(Settings!$B$31,ROUND(S75*Settings!$B$21,0),0))</f>
        <v/>
      </c>
      <c r="Z75" s="25" t="str">
        <f aca="false">IF(N75="","",U75+V75+X75+W75+Y75)</f>
        <v/>
      </c>
      <c r="AA75" s="7" t="str">
        <f aca="false">IF(COUNT(C75:H75)=0,"",TRIM(IF(UPPER(K75)="N","Not a PF member, skipped. ","")&amp;IF(AND(UPPER(K75)&lt;&gt;"N",N(M75)&lt;=0),"PF wage is zero, skipped. ","")&amp;IF(AND(UPPER(K75)&lt;&gt;"N",N(M75)&gt;0,UPPER(L75)="N"),"Pension not applicable, whole 12% goes to EPF. ","")&amp;IF(AND(ISNUMBER(H75),ABS(SUM(C75:G75)-N(H75))&gt;1),"Heads in the file add up to "&amp;SUM(C75:G75)&amp;", Gross is "&amp;H75&amp;" (a pay head may be missing). ","")&amp;IF(AND(Settings!$B$32,N(H75)&gt;0,ISNUMBER(M75),N(M75)&lt;H75*0.5-0.5),"50% check: PF wage is "&amp;TEXT(M75/H75,"0%")&amp;" of gross. ","")&amp;IF(AND(N(M75)&gt;0,UPPER(K75)&lt;&gt;"N",N(N75)+N(O75)=0),"No days to count. ","")))</f>
        <v/>
      </c>
    </row>
    <row r="76" customFormat="false" ht="15" hidden="false" customHeight="false" outlineLevel="0" collapsed="false">
      <c r="A76" s="14"/>
      <c r="B76" s="14"/>
      <c r="C76" s="17"/>
      <c r="D76" s="17"/>
      <c r="E76" s="17"/>
      <c r="F76" s="17"/>
      <c r="G76" s="17"/>
      <c r="H76" s="17"/>
      <c r="I76" s="14"/>
      <c r="J76" s="14"/>
      <c r="K76" s="14"/>
      <c r="L76" s="14"/>
      <c r="M76" s="34" t="str">
        <f aca="false">IF(COUNT(C76:H76)=0,"",IFERROR(MAX(0,ROUND(IF(Settings!$B$33,IF(H76="",SUM(C76:G76),H76)-SUMPRODUCT(($C$4:$G$4="Y")*C76:G76),SUMPRODUCT(($C$4:$G$4="Y")*C76:G76)),0)),"Check inputs"))</f>
        <v/>
      </c>
      <c r="N76" s="35" t="str">
        <f aca="false">IF(AND(N($M76)&gt;0,UPPER($K76)&lt;&gt;"N"),IF(Settings!$B$28,MAX(0,MIN(Settings!$B$16,IF(I76="",Settings!$B$16,I76)))/Settings!$B$15,1),"")</f>
        <v/>
      </c>
      <c r="O76" s="35" t="str">
        <f aca="false">IF(AND(N($M76)&gt;0,UPPER($K76)&lt;&gt;"N"),IF(Settings!$B$28,MAX(0,MIN(Settings!$B$17,IF(J76="",Settings!$B$17,J76)))/Settings!$B$15,0),"")</f>
        <v/>
      </c>
      <c r="P76" s="34" t="str">
        <f aca="false">IF(N76="","",ROUND(IF(Settings!$B$27,MIN($M76,Settings!$B$29),$M76)*N76,0))</f>
        <v/>
      </c>
      <c r="Q76" s="34" t="str">
        <f aca="false">IF(N76="","",ROUND(IF(Settings!$B$27,MIN($M76,Settings!$B$30),$M76)*O76,0))</f>
        <v/>
      </c>
      <c r="R76" s="34" t="str">
        <f aca="false">IF(N76="","",P76+Q76)</f>
        <v/>
      </c>
      <c r="S76" s="34" t="str">
        <f aca="false">IF(N76="","",ROUND(MIN($M76,Settings!$B$29)*N76,0)+ROUND(MIN($M76,Settings!$B$30)*O76,0))</f>
        <v/>
      </c>
      <c r="T76" s="34" t="str">
        <f aca="false">IF(N76="","",IF(UPPER(L76)="N",0,S76))</f>
        <v/>
      </c>
      <c r="U76" s="25" t="str">
        <f aca="false">IF(N76="","",ROUND(R76*Settings!$B$18,0))</f>
        <v/>
      </c>
      <c r="V76" s="25" t="str">
        <f aca="false">IF(N76="","",ROUND(R76*Settings!$B$19,0)-X76)</f>
        <v/>
      </c>
      <c r="W76" s="25" t="str">
        <f aca="false">IF(N76="","",IF(Settings!$B$31,ROUND(R76*Settings!$B$22,0),0))</f>
        <v/>
      </c>
      <c r="X76" s="25" t="str">
        <f aca="false">IF(N76="","",MIN(ROUND(T76*Settings!$B$20,0),ROUND(R76*Settings!$B$19,0)))</f>
        <v/>
      </c>
      <c r="Y76" s="25" t="str">
        <f aca="false">IF(N76="","",IF(Settings!$B$31,ROUND(S76*Settings!$B$21,0),0))</f>
        <v/>
      </c>
      <c r="Z76" s="25" t="str">
        <f aca="false">IF(N76="","",U76+V76+X76+W76+Y76)</f>
        <v/>
      </c>
      <c r="AA76" s="7" t="str">
        <f aca="false">IF(COUNT(C76:H76)=0,"",TRIM(IF(UPPER(K76)="N","Not a PF member, skipped. ","")&amp;IF(AND(UPPER(K76)&lt;&gt;"N",N(M76)&lt;=0),"PF wage is zero, skipped. ","")&amp;IF(AND(UPPER(K76)&lt;&gt;"N",N(M76)&gt;0,UPPER(L76)="N"),"Pension not applicable, whole 12% goes to EPF. ","")&amp;IF(AND(ISNUMBER(H76),ABS(SUM(C76:G76)-N(H76))&gt;1),"Heads in the file add up to "&amp;SUM(C76:G76)&amp;", Gross is "&amp;H76&amp;" (a pay head may be missing). ","")&amp;IF(AND(Settings!$B$32,N(H76)&gt;0,ISNUMBER(M76),N(M76)&lt;H76*0.5-0.5),"50% check: PF wage is "&amp;TEXT(M76/H76,"0%")&amp;" of gross. ","")&amp;IF(AND(N(M76)&gt;0,UPPER(K76)&lt;&gt;"N",N(N76)+N(O76)=0),"No days to count. ","")))</f>
        <v/>
      </c>
    </row>
    <row r="77" customFormat="false" ht="15" hidden="false" customHeight="false" outlineLevel="0" collapsed="false">
      <c r="A77" s="14"/>
      <c r="B77" s="14"/>
      <c r="C77" s="17"/>
      <c r="D77" s="17"/>
      <c r="E77" s="17"/>
      <c r="F77" s="17"/>
      <c r="G77" s="17"/>
      <c r="H77" s="17"/>
      <c r="I77" s="14"/>
      <c r="J77" s="14"/>
      <c r="K77" s="14"/>
      <c r="L77" s="14"/>
      <c r="M77" s="34" t="str">
        <f aca="false">IF(COUNT(C77:H77)=0,"",IFERROR(MAX(0,ROUND(IF(Settings!$B$33,IF(H77="",SUM(C77:G77),H77)-SUMPRODUCT(($C$4:$G$4="Y")*C77:G77),SUMPRODUCT(($C$4:$G$4="Y")*C77:G77)),0)),"Check inputs"))</f>
        <v/>
      </c>
      <c r="N77" s="35" t="str">
        <f aca="false">IF(AND(N($M77)&gt;0,UPPER($K77)&lt;&gt;"N"),IF(Settings!$B$28,MAX(0,MIN(Settings!$B$16,IF(I77="",Settings!$B$16,I77)))/Settings!$B$15,1),"")</f>
        <v/>
      </c>
      <c r="O77" s="35" t="str">
        <f aca="false">IF(AND(N($M77)&gt;0,UPPER($K77)&lt;&gt;"N"),IF(Settings!$B$28,MAX(0,MIN(Settings!$B$17,IF(J77="",Settings!$B$17,J77)))/Settings!$B$15,0),"")</f>
        <v/>
      </c>
      <c r="P77" s="34" t="str">
        <f aca="false">IF(N77="","",ROUND(IF(Settings!$B$27,MIN($M77,Settings!$B$29),$M77)*N77,0))</f>
        <v/>
      </c>
      <c r="Q77" s="34" t="str">
        <f aca="false">IF(N77="","",ROUND(IF(Settings!$B$27,MIN($M77,Settings!$B$30),$M77)*O77,0))</f>
        <v/>
      </c>
      <c r="R77" s="34" t="str">
        <f aca="false">IF(N77="","",P77+Q77)</f>
        <v/>
      </c>
      <c r="S77" s="34" t="str">
        <f aca="false">IF(N77="","",ROUND(MIN($M77,Settings!$B$29)*N77,0)+ROUND(MIN($M77,Settings!$B$30)*O77,0))</f>
        <v/>
      </c>
      <c r="T77" s="34" t="str">
        <f aca="false">IF(N77="","",IF(UPPER(L77)="N",0,S77))</f>
        <v/>
      </c>
      <c r="U77" s="25" t="str">
        <f aca="false">IF(N77="","",ROUND(R77*Settings!$B$18,0))</f>
        <v/>
      </c>
      <c r="V77" s="25" t="str">
        <f aca="false">IF(N77="","",ROUND(R77*Settings!$B$19,0)-X77)</f>
        <v/>
      </c>
      <c r="W77" s="25" t="str">
        <f aca="false">IF(N77="","",IF(Settings!$B$31,ROUND(R77*Settings!$B$22,0),0))</f>
        <v/>
      </c>
      <c r="X77" s="25" t="str">
        <f aca="false">IF(N77="","",MIN(ROUND(T77*Settings!$B$20,0),ROUND(R77*Settings!$B$19,0)))</f>
        <v/>
      </c>
      <c r="Y77" s="25" t="str">
        <f aca="false">IF(N77="","",IF(Settings!$B$31,ROUND(S77*Settings!$B$21,0),0))</f>
        <v/>
      </c>
      <c r="Z77" s="25" t="str">
        <f aca="false">IF(N77="","",U77+V77+X77+W77+Y77)</f>
        <v/>
      </c>
      <c r="AA77" s="7" t="str">
        <f aca="false">IF(COUNT(C77:H77)=0,"",TRIM(IF(UPPER(K77)="N","Not a PF member, skipped. ","")&amp;IF(AND(UPPER(K77)&lt;&gt;"N",N(M77)&lt;=0),"PF wage is zero, skipped. ","")&amp;IF(AND(UPPER(K77)&lt;&gt;"N",N(M77)&gt;0,UPPER(L77)="N"),"Pension not applicable, whole 12% goes to EPF. ","")&amp;IF(AND(ISNUMBER(H77),ABS(SUM(C77:G77)-N(H77))&gt;1),"Heads in the file add up to "&amp;SUM(C77:G77)&amp;", Gross is "&amp;H77&amp;" (a pay head may be missing). ","")&amp;IF(AND(Settings!$B$32,N(H77)&gt;0,ISNUMBER(M77),N(M77)&lt;H77*0.5-0.5),"50% check: PF wage is "&amp;TEXT(M77/H77,"0%")&amp;" of gross. ","")&amp;IF(AND(N(M77)&gt;0,UPPER(K77)&lt;&gt;"N",N(N77)+N(O77)=0),"No days to count. ","")))</f>
        <v/>
      </c>
    </row>
    <row r="78" customFormat="false" ht="15" hidden="false" customHeight="false" outlineLevel="0" collapsed="false">
      <c r="A78" s="14"/>
      <c r="B78" s="14"/>
      <c r="C78" s="17"/>
      <c r="D78" s="17"/>
      <c r="E78" s="17"/>
      <c r="F78" s="17"/>
      <c r="G78" s="17"/>
      <c r="H78" s="17"/>
      <c r="I78" s="14"/>
      <c r="J78" s="14"/>
      <c r="K78" s="14"/>
      <c r="L78" s="14"/>
      <c r="M78" s="34" t="str">
        <f aca="false">IF(COUNT(C78:H78)=0,"",IFERROR(MAX(0,ROUND(IF(Settings!$B$33,IF(H78="",SUM(C78:G78),H78)-SUMPRODUCT(($C$4:$G$4="Y")*C78:G78),SUMPRODUCT(($C$4:$G$4="Y")*C78:G78)),0)),"Check inputs"))</f>
        <v/>
      </c>
      <c r="N78" s="35" t="str">
        <f aca="false">IF(AND(N($M78)&gt;0,UPPER($K78)&lt;&gt;"N"),IF(Settings!$B$28,MAX(0,MIN(Settings!$B$16,IF(I78="",Settings!$B$16,I78)))/Settings!$B$15,1),"")</f>
        <v/>
      </c>
      <c r="O78" s="35" t="str">
        <f aca="false">IF(AND(N($M78)&gt;0,UPPER($K78)&lt;&gt;"N"),IF(Settings!$B$28,MAX(0,MIN(Settings!$B$17,IF(J78="",Settings!$B$17,J78)))/Settings!$B$15,0),"")</f>
        <v/>
      </c>
      <c r="P78" s="34" t="str">
        <f aca="false">IF(N78="","",ROUND(IF(Settings!$B$27,MIN($M78,Settings!$B$29),$M78)*N78,0))</f>
        <v/>
      </c>
      <c r="Q78" s="34" t="str">
        <f aca="false">IF(N78="","",ROUND(IF(Settings!$B$27,MIN($M78,Settings!$B$30),$M78)*O78,0))</f>
        <v/>
      </c>
      <c r="R78" s="34" t="str">
        <f aca="false">IF(N78="","",P78+Q78)</f>
        <v/>
      </c>
      <c r="S78" s="34" t="str">
        <f aca="false">IF(N78="","",ROUND(MIN($M78,Settings!$B$29)*N78,0)+ROUND(MIN($M78,Settings!$B$30)*O78,0))</f>
        <v/>
      </c>
      <c r="T78" s="34" t="str">
        <f aca="false">IF(N78="","",IF(UPPER(L78)="N",0,S78))</f>
        <v/>
      </c>
      <c r="U78" s="25" t="str">
        <f aca="false">IF(N78="","",ROUND(R78*Settings!$B$18,0))</f>
        <v/>
      </c>
      <c r="V78" s="25" t="str">
        <f aca="false">IF(N78="","",ROUND(R78*Settings!$B$19,0)-X78)</f>
        <v/>
      </c>
      <c r="W78" s="25" t="str">
        <f aca="false">IF(N78="","",IF(Settings!$B$31,ROUND(R78*Settings!$B$22,0),0))</f>
        <v/>
      </c>
      <c r="X78" s="25" t="str">
        <f aca="false">IF(N78="","",MIN(ROUND(T78*Settings!$B$20,0),ROUND(R78*Settings!$B$19,0)))</f>
        <v/>
      </c>
      <c r="Y78" s="25" t="str">
        <f aca="false">IF(N78="","",IF(Settings!$B$31,ROUND(S78*Settings!$B$21,0),0))</f>
        <v/>
      </c>
      <c r="Z78" s="25" t="str">
        <f aca="false">IF(N78="","",U78+V78+X78+W78+Y78)</f>
        <v/>
      </c>
      <c r="AA78" s="7" t="str">
        <f aca="false">IF(COUNT(C78:H78)=0,"",TRIM(IF(UPPER(K78)="N","Not a PF member, skipped. ","")&amp;IF(AND(UPPER(K78)&lt;&gt;"N",N(M78)&lt;=0),"PF wage is zero, skipped. ","")&amp;IF(AND(UPPER(K78)&lt;&gt;"N",N(M78)&gt;0,UPPER(L78)="N"),"Pension not applicable, whole 12% goes to EPF. ","")&amp;IF(AND(ISNUMBER(H78),ABS(SUM(C78:G78)-N(H78))&gt;1),"Heads in the file add up to "&amp;SUM(C78:G78)&amp;", Gross is "&amp;H78&amp;" (a pay head may be missing). ","")&amp;IF(AND(Settings!$B$32,N(H78)&gt;0,ISNUMBER(M78),N(M78)&lt;H78*0.5-0.5),"50% check: PF wage is "&amp;TEXT(M78/H78,"0%")&amp;" of gross. ","")&amp;IF(AND(N(M78)&gt;0,UPPER(K78)&lt;&gt;"N",N(N78)+N(O78)=0),"No days to count. ","")))</f>
        <v/>
      </c>
    </row>
    <row r="79" customFormat="false" ht="15" hidden="false" customHeight="false" outlineLevel="0" collapsed="false">
      <c r="A79" s="14"/>
      <c r="B79" s="14"/>
      <c r="C79" s="17"/>
      <c r="D79" s="17"/>
      <c r="E79" s="17"/>
      <c r="F79" s="17"/>
      <c r="G79" s="17"/>
      <c r="H79" s="17"/>
      <c r="I79" s="14"/>
      <c r="J79" s="14"/>
      <c r="K79" s="14"/>
      <c r="L79" s="14"/>
      <c r="M79" s="34" t="str">
        <f aca="false">IF(COUNT(C79:H79)=0,"",IFERROR(MAX(0,ROUND(IF(Settings!$B$33,IF(H79="",SUM(C79:G79),H79)-SUMPRODUCT(($C$4:$G$4="Y")*C79:G79),SUMPRODUCT(($C$4:$G$4="Y")*C79:G79)),0)),"Check inputs"))</f>
        <v/>
      </c>
      <c r="N79" s="35" t="str">
        <f aca="false">IF(AND(N($M79)&gt;0,UPPER($K79)&lt;&gt;"N"),IF(Settings!$B$28,MAX(0,MIN(Settings!$B$16,IF(I79="",Settings!$B$16,I79)))/Settings!$B$15,1),"")</f>
        <v/>
      </c>
      <c r="O79" s="35" t="str">
        <f aca="false">IF(AND(N($M79)&gt;0,UPPER($K79)&lt;&gt;"N"),IF(Settings!$B$28,MAX(0,MIN(Settings!$B$17,IF(J79="",Settings!$B$17,J79)))/Settings!$B$15,0),"")</f>
        <v/>
      </c>
      <c r="P79" s="34" t="str">
        <f aca="false">IF(N79="","",ROUND(IF(Settings!$B$27,MIN($M79,Settings!$B$29),$M79)*N79,0))</f>
        <v/>
      </c>
      <c r="Q79" s="34" t="str">
        <f aca="false">IF(N79="","",ROUND(IF(Settings!$B$27,MIN($M79,Settings!$B$30),$M79)*O79,0))</f>
        <v/>
      </c>
      <c r="R79" s="34" t="str">
        <f aca="false">IF(N79="","",P79+Q79)</f>
        <v/>
      </c>
      <c r="S79" s="34" t="str">
        <f aca="false">IF(N79="","",ROUND(MIN($M79,Settings!$B$29)*N79,0)+ROUND(MIN($M79,Settings!$B$30)*O79,0))</f>
        <v/>
      </c>
      <c r="T79" s="34" t="str">
        <f aca="false">IF(N79="","",IF(UPPER(L79)="N",0,S79))</f>
        <v/>
      </c>
      <c r="U79" s="25" t="str">
        <f aca="false">IF(N79="","",ROUND(R79*Settings!$B$18,0))</f>
        <v/>
      </c>
      <c r="V79" s="25" t="str">
        <f aca="false">IF(N79="","",ROUND(R79*Settings!$B$19,0)-X79)</f>
        <v/>
      </c>
      <c r="W79" s="25" t="str">
        <f aca="false">IF(N79="","",IF(Settings!$B$31,ROUND(R79*Settings!$B$22,0),0))</f>
        <v/>
      </c>
      <c r="X79" s="25" t="str">
        <f aca="false">IF(N79="","",MIN(ROUND(T79*Settings!$B$20,0),ROUND(R79*Settings!$B$19,0)))</f>
        <v/>
      </c>
      <c r="Y79" s="25" t="str">
        <f aca="false">IF(N79="","",IF(Settings!$B$31,ROUND(S79*Settings!$B$21,0),0))</f>
        <v/>
      </c>
      <c r="Z79" s="25" t="str">
        <f aca="false">IF(N79="","",U79+V79+X79+W79+Y79)</f>
        <v/>
      </c>
      <c r="AA79" s="7" t="str">
        <f aca="false">IF(COUNT(C79:H79)=0,"",TRIM(IF(UPPER(K79)="N","Not a PF member, skipped. ","")&amp;IF(AND(UPPER(K79)&lt;&gt;"N",N(M79)&lt;=0),"PF wage is zero, skipped. ","")&amp;IF(AND(UPPER(K79)&lt;&gt;"N",N(M79)&gt;0,UPPER(L79)="N"),"Pension not applicable, whole 12% goes to EPF. ","")&amp;IF(AND(ISNUMBER(H79),ABS(SUM(C79:G79)-N(H79))&gt;1),"Heads in the file add up to "&amp;SUM(C79:G79)&amp;", Gross is "&amp;H79&amp;" (a pay head may be missing). ","")&amp;IF(AND(Settings!$B$32,N(H79)&gt;0,ISNUMBER(M79),N(M79)&lt;H79*0.5-0.5),"50% check: PF wage is "&amp;TEXT(M79/H79,"0%")&amp;" of gross. ","")&amp;IF(AND(N(M79)&gt;0,UPPER(K79)&lt;&gt;"N",N(N79)+N(O79)=0),"No days to count. ","")))</f>
        <v/>
      </c>
    </row>
    <row r="80" customFormat="false" ht="15" hidden="false" customHeight="false" outlineLevel="0" collapsed="false">
      <c r="A80" s="14"/>
      <c r="B80" s="14"/>
      <c r="C80" s="17"/>
      <c r="D80" s="17"/>
      <c r="E80" s="17"/>
      <c r="F80" s="17"/>
      <c r="G80" s="17"/>
      <c r="H80" s="17"/>
      <c r="I80" s="14"/>
      <c r="J80" s="14"/>
      <c r="K80" s="14"/>
      <c r="L80" s="14"/>
      <c r="M80" s="34" t="str">
        <f aca="false">IF(COUNT(C80:H80)=0,"",IFERROR(MAX(0,ROUND(IF(Settings!$B$33,IF(H80="",SUM(C80:G80),H80)-SUMPRODUCT(($C$4:$G$4="Y")*C80:G80),SUMPRODUCT(($C$4:$G$4="Y")*C80:G80)),0)),"Check inputs"))</f>
        <v/>
      </c>
      <c r="N80" s="35" t="str">
        <f aca="false">IF(AND(N($M80)&gt;0,UPPER($K80)&lt;&gt;"N"),IF(Settings!$B$28,MAX(0,MIN(Settings!$B$16,IF(I80="",Settings!$B$16,I80)))/Settings!$B$15,1),"")</f>
        <v/>
      </c>
      <c r="O80" s="35" t="str">
        <f aca="false">IF(AND(N($M80)&gt;0,UPPER($K80)&lt;&gt;"N"),IF(Settings!$B$28,MAX(0,MIN(Settings!$B$17,IF(J80="",Settings!$B$17,J80)))/Settings!$B$15,0),"")</f>
        <v/>
      </c>
      <c r="P80" s="34" t="str">
        <f aca="false">IF(N80="","",ROUND(IF(Settings!$B$27,MIN($M80,Settings!$B$29),$M80)*N80,0))</f>
        <v/>
      </c>
      <c r="Q80" s="34" t="str">
        <f aca="false">IF(N80="","",ROUND(IF(Settings!$B$27,MIN($M80,Settings!$B$30),$M80)*O80,0))</f>
        <v/>
      </c>
      <c r="R80" s="34" t="str">
        <f aca="false">IF(N80="","",P80+Q80)</f>
        <v/>
      </c>
      <c r="S80" s="34" t="str">
        <f aca="false">IF(N80="","",ROUND(MIN($M80,Settings!$B$29)*N80,0)+ROUND(MIN($M80,Settings!$B$30)*O80,0))</f>
        <v/>
      </c>
      <c r="T80" s="34" t="str">
        <f aca="false">IF(N80="","",IF(UPPER(L80)="N",0,S80))</f>
        <v/>
      </c>
      <c r="U80" s="25" t="str">
        <f aca="false">IF(N80="","",ROUND(R80*Settings!$B$18,0))</f>
        <v/>
      </c>
      <c r="V80" s="25" t="str">
        <f aca="false">IF(N80="","",ROUND(R80*Settings!$B$19,0)-X80)</f>
        <v/>
      </c>
      <c r="W80" s="25" t="str">
        <f aca="false">IF(N80="","",IF(Settings!$B$31,ROUND(R80*Settings!$B$22,0),0))</f>
        <v/>
      </c>
      <c r="X80" s="25" t="str">
        <f aca="false">IF(N80="","",MIN(ROUND(T80*Settings!$B$20,0),ROUND(R80*Settings!$B$19,0)))</f>
        <v/>
      </c>
      <c r="Y80" s="25" t="str">
        <f aca="false">IF(N80="","",IF(Settings!$B$31,ROUND(S80*Settings!$B$21,0),0))</f>
        <v/>
      </c>
      <c r="Z80" s="25" t="str">
        <f aca="false">IF(N80="","",U80+V80+X80+W80+Y80)</f>
        <v/>
      </c>
      <c r="AA80" s="7" t="str">
        <f aca="false">IF(COUNT(C80:H80)=0,"",TRIM(IF(UPPER(K80)="N","Not a PF member, skipped. ","")&amp;IF(AND(UPPER(K80)&lt;&gt;"N",N(M80)&lt;=0),"PF wage is zero, skipped. ","")&amp;IF(AND(UPPER(K80)&lt;&gt;"N",N(M80)&gt;0,UPPER(L80)="N"),"Pension not applicable, whole 12% goes to EPF. ","")&amp;IF(AND(ISNUMBER(H80),ABS(SUM(C80:G80)-N(H80))&gt;1),"Heads in the file add up to "&amp;SUM(C80:G80)&amp;", Gross is "&amp;H80&amp;" (a pay head may be missing). ","")&amp;IF(AND(Settings!$B$32,N(H80)&gt;0,ISNUMBER(M80),N(M80)&lt;H80*0.5-0.5),"50% check: PF wage is "&amp;TEXT(M80/H80,"0%")&amp;" of gross. ","")&amp;IF(AND(N(M80)&gt;0,UPPER(K80)&lt;&gt;"N",N(N80)+N(O80)=0),"No days to count. ","")))</f>
        <v/>
      </c>
    </row>
    <row r="81" customFormat="false" ht="15" hidden="false" customHeight="false" outlineLevel="0" collapsed="false">
      <c r="A81" s="14"/>
      <c r="B81" s="14"/>
      <c r="C81" s="17"/>
      <c r="D81" s="17"/>
      <c r="E81" s="17"/>
      <c r="F81" s="17"/>
      <c r="G81" s="17"/>
      <c r="H81" s="17"/>
      <c r="I81" s="14"/>
      <c r="J81" s="14"/>
      <c r="K81" s="14"/>
      <c r="L81" s="14"/>
      <c r="M81" s="34" t="str">
        <f aca="false">IF(COUNT(C81:H81)=0,"",IFERROR(MAX(0,ROUND(IF(Settings!$B$33,IF(H81="",SUM(C81:G81),H81)-SUMPRODUCT(($C$4:$G$4="Y")*C81:G81),SUMPRODUCT(($C$4:$G$4="Y")*C81:G81)),0)),"Check inputs"))</f>
        <v/>
      </c>
      <c r="N81" s="35" t="str">
        <f aca="false">IF(AND(N($M81)&gt;0,UPPER($K81)&lt;&gt;"N"),IF(Settings!$B$28,MAX(0,MIN(Settings!$B$16,IF(I81="",Settings!$B$16,I81)))/Settings!$B$15,1),"")</f>
        <v/>
      </c>
      <c r="O81" s="35" t="str">
        <f aca="false">IF(AND(N($M81)&gt;0,UPPER($K81)&lt;&gt;"N"),IF(Settings!$B$28,MAX(0,MIN(Settings!$B$17,IF(J81="",Settings!$B$17,J81)))/Settings!$B$15,0),"")</f>
        <v/>
      </c>
      <c r="P81" s="34" t="str">
        <f aca="false">IF(N81="","",ROUND(IF(Settings!$B$27,MIN($M81,Settings!$B$29),$M81)*N81,0))</f>
        <v/>
      </c>
      <c r="Q81" s="34" t="str">
        <f aca="false">IF(N81="","",ROUND(IF(Settings!$B$27,MIN($M81,Settings!$B$30),$M81)*O81,0))</f>
        <v/>
      </c>
      <c r="R81" s="34" t="str">
        <f aca="false">IF(N81="","",P81+Q81)</f>
        <v/>
      </c>
      <c r="S81" s="34" t="str">
        <f aca="false">IF(N81="","",ROUND(MIN($M81,Settings!$B$29)*N81,0)+ROUND(MIN($M81,Settings!$B$30)*O81,0))</f>
        <v/>
      </c>
      <c r="T81" s="34" t="str">
        <f aca="false">IF(N81="","",IF(UPPER(L81)="N",0,S81))</f>
        <v/>
      </c>
      <c r="U81" s="25" t="str">
        <f aca="false">IF(N81="","",ROUND(R81*Settings!$B$18,0))</f>
        <v/>
      </c>
      <c r="V81" s="25" t="str">
        <f aca="false">IF(N81="","",ROUND(R81*Settings!$B$19,0)-X81)</f>
        <v/>
      </c>
      <c r="W81" s="25" t="str">
        <f aca="false">IF(N81="","",IF(Settings!$B$31,ROUND(R81*Settings!$B$22,0),0))</f>
        <v/>
      </c>
      <c r="X81" s="25" t="str">
        <f aca="false">IF(N81="","",MIN(ROUND(T81*Settings!$B$20,0),ROUND(R81*Settings!$B$19,0)))</f>
        <v/>
      </c>
      <c r="Y81" s="25" t="str">
        <f aca="false">IF(N81="","",IF(Settings!$B$31,ROUND(S81*Settings!$B$21,0),0))</f>
        <v/>
      </c>
      <c r="Z81" s="25" t="str">
        <f aca="false">IF(N81="","",U81+V81+X81+W81+Y81)</f>
        <v/>
      </c>
      <c r="AA81" s="7" t="str">
        <f aca="false">IF(COUNT(C81:H81)=0,"",TRIM(IF(UPPER(K81)="N","Not a PF member, skipped. ","")&amp;IF(AND(UPPER(K81)&lt;&gt;"N",N(M81)&lt;=0),"PF wage is zero, skipped. ","")&amp;IF(AND(UPPER(K81)&lt;&gt;"N",N(M81)&gt;0,UPPER(L81)="N"),"Pension not applicable, whole 12% goes to EPF. ","")&amp;IF(AND(ISNUMBER(H81),ABS(SUM(C81:G81)-N(H81))&gt;1),"Heads in the file add up to "&amp;SUM(C81:G81)&amp;", Gross is "&amp;H81&amp;" (a pay head may be missing). ","")&amp;IF(AND(Settings!$B$32,N(H81)&gt;0,ISNUMBER(M81),N(M81)&lt;H81*0.5-0.5),"50% check: PF wage is "&amp;TEXT(M81/H81,"0%")&amp;" of gross. ","")&amp;IF(AND(N(M81)&gt;0,UPPER(K81)&lt;&gt;"N",N(N81)+N(O81)=0),"No days to count. ","")))</f>
        <v/>
      </c>
    </row>
    <row r="82" customFormat="false" ht="15" hidden="false" customHeight="false" outlineLevel="0" collapsed="false">
      <c r="A82" s="14"/>
      <c r="B82" s="14"/>
      <c r="C82" s="17"/>
      <c r="D82" s="17"/>
      <c r="E82" s="17"/>
      <c r="F82" s="17"/>
      <c r="G82" s="17"/>
      <c r="H82" s="17"/>
      <c r="I82" s="14"/>
      <c r="J82" s="14"/>
      <c r="K82" s="14"/>
      <c r="L82" s="14"/>
      <c r="M82" s="34" t="str">
        <f aca="false">IF(COUNT(C82:H82)=0,"",IFERROR(MAX(0,ROUND(IF(Settings!$B$33,IF(H82="",SUM(C82:G82),H82)-SUMPRODUCT(($C$4:$G$4="Y")*C82:G82),SUMPRODUCT(($C$4:$G$4="Y")*C82:G82)),0)),"Check inputs"))</f>
        <v/>
      </c>
      <c r="N82" s="35" t="str">
        <f aca="false">IF(AND(N($M82)&gt;0,UPPER($K82)&lt;&gt;"N"),IF(Settings!$B$28,MAX(0,MIN(Settings!$B$16,IF(I82="",Settings!$B$16,I82)))/Settings!$B$15,1),"")</f>
        <v/>
      </c>
      <c r="O82" s="35" t="str">
        <f aca="false">IF(AND(N($M82)&gt;0,UPPER($K82)&lt;&gt;"N"),IF(Settings!$B$28,MAX(0,MIN(Settings!$B$17,IF(J82="",Settings!$B$17,J82)))/Settings!$B$15,0),"")</f>
        <v/>
      </c>
      <c r="P82" s="34" t="str">
        <f aca="false">IF(N82="","",ROUND(IF(Settings!$B$27,MIN($M82,Settings!$B$29),$M82)*N82,0))</f>
        <v/>
      </c>
      <c r="Q82" s="34" t="str">
        <f aca="false">IF(N82="","",ROUND(IF(Settings!$B$27,MIN($M82,Settings!$B$30),$M82)*O82,0))</f>
        <v/>
      </c>
      <c r="R82" s="34" t="str">
        <f aca="false">IF(N82="","",P82+Q82)</f>
        <v/>
      </c>
      <c r="S82" s="34" t="str">
        <f aca="false">IF(N82="","",ROUND(MIN($M82,Settings!$B$29)*N82,0)+ROUND(MIN($M82,Settings!$B$30)*O82,0))</f>
        <v/>
      </c>
      <c r="T82" s="34" t="str">
        <f aca="false">IF(N82="","",IF(UPPER(L82)="N",0,S82))</f>
        <v/>
      </c>
      <c r="U82" s="25" t="str">
        <f aca="false">IF(N82="","",ROUND(R82*Settings!$B$18,0))</f>
        <v/>
      </c>
      <c r="V82" s="25" t="str">
        <f aca="false">IF(N82="","",ROUND(R82*Settings!$B$19,0)-X82)</f>
        <v/>
      </c>
      <c r="W82" s="25" t="str">
        <f aca="false">IF(N82="","",IF(Settings!$B$31,ROUND(R82*Settings!$B$22,0),0))</f>
        <v/>
      </c>
      <c r="X82" s="25" t="str">
        <f aca="false">IF(N82="","",MIN(ROUND(T82*Settings!$B$20,0),ROUND(R82*Settings!$B$19,0)))</f>
        <v/>
      </c>
      <c r="Y82" s="25" t="str">
        <f aca="false">IF(N82="","",IF(Settings!$B$31,ROUND(S82*Settings!$B$21,0),0))</f>
        <v/>
      </c>
      <c r="Z82" s="25" t="str">
        <f aca="false">IF(N82="","",U82+V82+X82+W82+Y82)</f>
        <v/>
      </c>
      <c r="AA82" s="7" t="str">
        <f aca="false">IF(COUNT(C82:H82)=0,"",TRIM(IF(UPPER(K82)="N","Not a PF member, skipped. ","")&amp;IF(AND(UPPER(K82)&lt;&gt;"N",N(M82)&lt;=0),"PF wage is zero, skipped. ","")&amp;IF(AND(UPPER(K82)&lt;&gt;"N",N(M82)&gt;0,UPPER(L82)="N"),"Pension not applicable, whole 12% goes to EPF. ","")&amp;IF(AND(ISNUMBER(H82),ABS(SUM(C82:G82)-N(H82))&gt;1),"Heads in the file add up to "&amp;SUM(C82:G82)&amp;", Gross is "&amp;H82&amp;" (a pay head may be missing). ","")&amp;IF(AND(Settings!$B$32,N(H82)&gt;0,ISNUMBER(M82),N(M82)&lt;H82*0.5-0.5),"50% check: PF wage is "&amp;TEXT(M82/H82,"0%")&amp;" of gross. ","")&amp;IF(AND(N(M82)&gt;0,UPPER(K82)&lt;&gt;"N",N(N82)+N(O82)=0),"No days to count. ","")))</f>
        <v/>
      </c>
    </row>
    <row r="83" customFormat="false" ht="15" hidden="false" customHeight="false" outlineLevel="0" collapsed="false">
      <c r="A83" s="14"/>
      <c r="B83" s="14"/>
      <c r="C83" s="17"/>
      <c r="D83" s="17"/>
      <c r="E83" s="17"/>
      <c r="F83" s="17"/>
      <c r="G83" s="17"/>
      <c r="H83" s="17"/>
      <c r="I83" s="14"/>
      <c r="J83" s="14"/>
      <c r="K83" s="14"/>
      <c r="L83" s="14"/>
      <c r="M83" s="34" t="str">
        <f aca="false">IF(COUNT(C83:H83)=0,"",IFERROR(MAX(0,ROUND(IF(Settings!$B$33,IF(H83="",SUM(C83:G83),H83)-SUMPRODUCT(($C$4:$G$4="Y")*C83:G83),SUMPRODUCT(($C$4:$G$4="Y")*C83:G83)),0)),"Check inputs"))</f>
        <v/>
      </c>
      <c r="N83" s="35" t="str">
        <f aca="false">IF(AND(N($M83)&gt;0,UPPER($K83)&lt;&gt;"N"),IF(Settings!$B$28,MAX(0,MIN(Settings!$B$16,IF(I83="",Settings!$B$16,I83)))/Settings!$B$15,1),"")</f>
        <v/>
      </c>
      <c r="O83" s="35" t="str">
        <f aca="false">IF(AND(N($M83)&gt;0,UPPER($K83)&lt;&gt;"N"),IF(Settings!$B$28,MAX(0,MIN(Settings!$B$17,IF(J83="",Settings!$B$17,J83)))/Settings!$B$15,0),"")</f>
        <v/>
      </c>
      <c r="P83" s="34" t="str">
        <f aca="false">IF(N83="","",ROUND(IF(Settings!$B$27,MIN($M83,Settings!$B$29),$M83)*N83,0))</f>
        <v/>
      </c>
      <c r="Q83" s="34" t="str">
        <f aca="false">IF(N83="","",ROUND(IF(Settings!$B$27,MIN($M83,Settings!$B$30),$M83)*O83,0))</f>
        <v/>
      </c>
      <c r="R83" s="34" t="str">
        <f aca="false">IF(N83="","",P83+Q83)</f>
        <v/>
      </c>
      <c r="S83" s="34" t="str">
        <f aca="false">IF(N83="","",ROUND(MIN($M83,Settings!$B$29)*N83,0)+ROUND(MIN($M83,Settings!$B$30)*O83,0))</f>
        <v/>
      </c>
      <c r="T83" s="34" t="str">
        <f aca="false">IF(N83="","",IF(UPPER(L83)="N",0,S83))</f>
        <v/>
      </c>
      <c r="U83" s="25" t="str">
        <f aca="false">IF(N83="","",ROUND(R83*Settings!$B$18,0))</f>
        <v/>
      </c>
      <c r="V83" s="25" t="str">
        <f aca="false">IF(N83="","",ROUND(R83*Settings!$B$19,0)-X83)</f>
        <v/>
      </c>
      <c r="W83" s="25" t="str">
        <f aca="false">IF(N83="","",IF(Settings!$B$31,ROUND(R83*Settings!$B$22,0),0))</f>
        <v/>
      </c>
      <c r="X83" s="25" t="str">
        <f aca="false">IF(N83="","",MIN(ROUND(T83*Settings!$B$20,0),ROUND(R83*Settings!$B$19,0)))</f>
        <v/>
      </c>
      <c r="Y83" s="25" t="str">
        <f aca="false">IF(N83="","",IF(Settings!$B$31,ROUND(S83*Settings!$B$21,0),0))</f>
        <v/>
      </c>
      <c r="Z83" s="25" t="str">
        <f aca="false">IF(N83="","",U83+V83+X83+W83+Y83)</f>
        <v/>
      </c>
      <c r="AA83" s="7" t="str">
        <f aca="false">IF(COUNT(C83:H83)=0,"",TRIM(IF(UPPER(K83)="N","Not a PF member, skipped. ","")&amp;IF(AND(UPPER(K83)&lt;&gt;"N",N(M83)&lt;=0),"PF wage is zero, skipped. ","")&amp;IF(AND(UPPER(K83)&lt;&gt;"N",N(M83)&gt;0,UPPER(L83)="N"),"Pension not applicable, whole 12% goes to EPF. ","")&amp;IF(AND(ISNUMBER(H83),ABS(SUM(C83:G83)-N(H83))&gt;1),"Heads in the file add up to "&amp;SUM(C83:G83)&amp;", Gross is "&amp;H83&amp;" (a pay head may be missing). ","")&amp;IF(AND(Settings!$B$32,N(H83)&gt;0,ISNUMBER(M83),N(M83)&lt;H83*0.5-0.5),"50% check: PF wage is "&amp;TEXT(M83/H83,"0%")&amp;" of gross. ","")&amp;IF(AND(N(M83)&gt;0,UPPER(K83)&lt;&gt;"N",N(N83)+N(O83)=0),"No days to count. ","")))</f>
        <v/>
      </c>
    </row>
    <row r="84" customFormat="false" ht="15" hidden="false" customHeight="false" outlineLevel="0" collapsed="false">
      <c r="A84" s="14"/>
      <c r="B84" s="14"/>
      <c r="C84" s="17"/>
      <c r="D84" s="17"/>
      <c r="E84" s="17"/>
      <c r="F84" s="17"/>
      <c r="G84" s="17"/>
      <c r="H84" s="17"/>
      <c r="I84" s="14"/>
      <c r="J84" s="14"/>
      <c r="K84" s="14"/>
      <c r="L84" s="14"/>
      <c r="M84" s="34" t="str">
        <f aca="false">IF(COUNT(C84:H84)=0,"",IFERROR(MAX(0,ROUND(IF(Settings!$B$33,IF(H84="",SUM(C84:G84),H84)-SUMPRODUCT(($C$4:$G$4="Y")*C84:G84),SUMPRODUCT(($C$4:$G$4="Y")*C84:G84)),0)),"Check inputs"))</f>
        <v/>
      </c>
      <c r="N84" s="35" t="str">
        <f aca="false">IF(AND(N($M84)&gt;0,UPPER($K84)&lt;&gt;"N"),IF(Settings!$B$28,MAX(0,MIN(Settings!$B$16,IF(I84="",Settings!$B$16,I84)))/Settings!$B$15,1),"")</f>
        <v/>
      </c>
      <c r="O84" s="35" t="str">
        <f aca="false">IF(AND(N($M84)&gt;0,UPPER($K84)&lt;&gt;"N"),IF(Settings!$B$28,MAX(0,MIN(Settings!$B$17,IF(J84="",Settings!$B$17,J84)))/Settings!$B$15,0),"")</f>
        <v/>
      </c>
      <c r="P84" s="34" t="str">
        <f aca="false">IF(N84="","",ROUND(IF(Settings!$B$27,MIN($M84,Settings!$B$29),$M84)*N84,0))</f>
        <v/>
      </c>
      <c r="Q84" s="34" t="str">
        <f aca="false">IF(N84="","",ROUND(IF(Settings!$B$27,MIN($M84,Settings!$B$30),$M84)*O84,0))</f>
        <v/>
      </c>
      <c r="R84" s="34" t="str">
        <f aca="false">IF(N84="","",P84+Q84)</f>
        <v/>
      </c>
      <c r="S84" s="34" t="str">
        <f aca="false">IF(N84="","",ROUND(MIN($M84,Settings!$B$29)*N84,0)+ROUND(MIN($M84,Settings!$B$30)*O84,0))</f>
        <v/>
      </c>
      <c r="T84" s="34" t="str">
        <f aca="false">IF(N84="","",IF(UPPER(L84)="N",0,S84))</f>
        <v/>
      </c>
      <c r="U84" s="25" t="str">
        <f aca="false">IF(N84="","",ROUND(R84*Settings!$B$18,0))</f>
        <v/>
      </c>
      <c r="V84" s="25" t="str">
        <f aca="false">IF(N84="","",ROUND(R84*Settings!$B$19,0)-X84)</f>
        <v/>
      </c>
      <c r="W84" s="25" t="str">
        <f aca="false">IF(N84="","",IF(Settings!$B$31,ROUND(R84*Settings!$B$22,0),0))</f>
        <v/>
      </c>
      <c r="X84" s="25" t="str">
        <f aca="false">IF(N84="","",MIN(ROUND(T84*Settings!$B$20,0),ROUND(R84*Settings!$B$19,0)))</f>
        <v/>
      </c>
      <c r="Y84" s="25" t="str">
        <f aca="false">IF(N84="","",IF(Settings!$B$31,ROUND(S84*Settings!$B$21,0),0))</f>
        <v/>
      </c>
      <c r="Z84" s="25" t="str">
        <f aca="false">IF(N84="","",U84+V84+X84+W84+Y84)</f>
        <v/>
      </c>
      <c r="AA84" s="7" t="str">
        <f aca="false">IF(COUNT(C84:H84)=0,"",TRIM(IF(UPPER(K84)="N","Not a PF member, skipped. ","")&amp;IF(AND(UPPER(K84)&lt;&gt;"N",N(M84)&lt;=0),"PF wage is zero, skipped. ","")&amp;IF(AND(UPPER(K84)&lt;&gt;"N",N(M84)&gt;0,UPPER(L84)="N"),"Pension not applicable, whole 12% goes to EPF. ","")&amp;IF(AND(ISNUMBER(H84),ABS(SUM(C84:G84)-N(H84))&gt;1),"Heads in the file add up to "&amp;SUM(C84:G84)&amp;", Gross is "&amp;H84&amp;" (a pay head may be missing). ","")&amp;IF(AND(Settings!$B$32,N(H84)&gt;0,ISNUMBER(M84),N(M84)&lt;H84*0.5-0.5),"50% check: PF wage is "&amp;TEXT(M84/H84,"0%")&amp;" of gross. ","")&amp;IF(AND(N(M84)&gt;0,UPPER(K84)&lt;&gt;"N",N(N84)+N(O84)=0),"No days to count. ","")))</f>
        <v/>
      </c>
    </row>
    <row r="85" customFormat="false" ht="15" hidden="false" customHeight="false" outlineLevel="0" collapsed="false">
      <c r="A85" s="14"/>
      <c r="B85" s="14"/>
      <c r="C85" s="17"/>
      <c r="D85" s="17"/>
      <c r="E85" s="17"/>
      <c r="F85" s="17"/>
      <c r="G85" s="17"/>
      <c r="H85" s="17"/>
      <c r="I85" s="14"/>
      <c r="J85" s="14"/>
      <c r="K85" s="14"/>
      <c r="L85" s="14"/>
      <c r="M85" s="34" t="str">
        <f aca="false">IF(COUNT(C85:H85)=0,"",IFERROR(MAX(0,ROUND(IF(Settings!$B$33,IF(H85="",SUM(C85:G85),H85)-SUMPRODUCT(($C$4:$G$4="Y")*C85:G85),SUMPRODUCT(($C$4:$G$4="Y")*C85:G85)),0)),"Check inputs"))</f>
        <v/>
      </c>
      <c r="N85" s="35" t="str">
        <f aca="false">IF(AND(N($M85)&gt;0,UPPER($K85)&lt;&gt;"N"),IF(Settings!$B$28,MAX(0,MIN(Settings!$B$16,IF(I85="",Settings!$B$16,I85)))/Settings!$B$15,1),"")</f>
        <v/>
      </c>
      <c r="O85" s="35" t="str">
        <f aca="false">IF(AND(N($M85)&gt;0,UPPER($K85)&lt;&gt;"N"),IF(Settings!$B$28,MAX(0,MIN(Settings!$B$17,IF(J85="",Settings!$B$17,J85)))/Settings!$B$15,0),"")</f>
        <v/>
      </c>
      <c r="P85" s="34" t="str">
        <f aca="false">IF(N85="","",ROUND(IF(Settings!$B$27,MIN($M85,Settings!$B$29),$M85)*N85,0))</f>
        <v/>
      </c>
      <c r="Q85" s="34" t="str">
        <f aca="false">IF(N85="","",ROUND(IF(Settings!$B$27,MIN($M85,Settings!$B$30),$M85)*O85,0))</f>
        <v/>
      </c>
      <c r="R85" s="34" t="str">
        <f aca="false">IF(N85="","",P85+Q85)</f>
        <v/>
      </c>
      <c r="S85" s="34" t="str">
        <f aca="false">IF(N85="","",ROUND(MIN($M85,Settings!$B$29)*N85,0)+ROUND(MIN($M85,Settings!$B$30)*O85,0))</f>
        <v/>
      </c>
      <c r="T85" s="34" t="str">
        <f aca="false">IF(N85="","",IF(UPPER(L85)="N",0,S85))</f>
        <v/>
      </c>
      <c r="U85" s="25" t="str">
        <f aca="false">IF(N85="","",ROUND(R85*Settings!$B$18,0))</f>
        <v/>
      </c>
      <c r="V85" s="25" t="str">
        <f aca="false">IF(N85="","",ROUND(R85*Settings!$B$19,0)-X85)</f>
        <v/>
      </c>
      <c r="W85" s="25" t="str">
        <f aca="false">IF(N85="","",IF(Settings!$B$31,ROUND(R85*Settings!$B$22,0),0))</f>
        <v/>
      </c>
      <c r="X85" s="25" t="str">
        <f aca="false">IF(N85="","",MIN(ROUND(T85*Settings!$B$20,0),ROUND(R85*Settings!$B$19,0)))</f>
        <v/>
      </c>
      <c r="Y85" s="25" t="str">
        <f aca="false">IF(N85="","",IF(Settings!$B$31,ROUND(S85*Settings!$B$21,0),0))</f>
        <v/>
      </c>
      <c r="Z85" s="25" t="str">
        <f aca="false">IF(N85="","",U85+V85+X85+W85+Y85)</f>
        <v/>
      </c>
      <c r="AA85" s="7" t="str">
        <f aca="false">IF(COUNT(C85:H85)=0,"",TRIM(IF(UPPER(K85)="N","Not a PF member, skipped. ","")&amp;IF(AND(UPPER(K85)&lt;&gt;"N",N(M85)&lt;=0),"PF wage is zero, skipped. ","")&amp;IF(AND(UPPER(K85)&lt;&gt;"N",N(M85)&gt;0,UPPER(L85)="N"),"Pension not applicable, whole 12% goes to EPF. ","")&amp;IF(AND(ISNUMBER(H85),ABS(SUM(C85:G85)-N(H85))&gt;1),"Heads in the file add up to "&amp;SUM(C85:G85)&amp;", Gross is "&amp;H85&amp;" (a pay head may be missing). ","")&amp;IF(AND(Settings!$B$32,N(H85)&gt;0,ISNUMBER(M85),N(M85)&lt;H85*0.5-0.5),"50% check: PF wage is "&amp;TEXT(M85/H85,"0%")&amp;" of gross. ","")&amp;IF(AND(N(M85)&gt;0,UPPER(K85)&lt;&gt;"N",N(N85)+N(O85)=0),"No days to count. ","")))</f>
        <v/>
      </c>
    </row>
    <row r="86" customFormat="false" ht="15" hidden="false" customHeight="false" outlineLevel="0" collapsed="false">
      <c r="A86" s="14"/>
      <c r="B86" s="14"/>
      <c r="C86" s="17"/>
      <c r="D86" s="17"/>
      <c r="E86" s="17"/>
      <c r="F86" s="17"/>
      <c r="G86" s="17"/>
      <c r="H86" s="17"/>
      <c r="I86" s="14"/>
      <c r="J86" s="14"/>
      <c r="K86" s="14"/>
      <c r="L86" s="14"/>
      <c r="M86" s="34" t="str">
        <f aca="false">IF(COUNT(C86:H86)=0,"",IFERROR(MAX(0,ROUND(IF(Settings!$B$33,IF(H86="",SUM(C86:G86),H86)-SUMPRODUCT(($C$4:$G$4="Y")*C86:G86),SUMPRODUCT(($C$4:$G$4="Y")*C86:G86)),0)),"Check inputs"))</f>
        <v/>
      </c>
      <c r="N86" s="35" t="str">
        <f aca="false">IF(AND(N($M86)&gt;0,UPPER($K86)&lt;&gt;"N"),IF(Settings!$B$28,MAX(0,MIN(Settings!$B$16,IF(I86="",Settings!$B$16,I86)))/Settings!$B$15,1),"")</f>
        <v/>
      </c>
      <c r="O86" s="35" t="str">
        <f aca="false">IF(AND(N($M86)&gt;0,UPPER($K86)&lt;&gt;"N"),IF(Settings!$B$28,MAX(0,MIN(Settings!$B$17,IF(J86="",Settings!$B$17,J86)))/Settings!$B$15,0),"")</f>
        <v/>
      </c>
      <c r="P86" s="34" t="str">
        <f aca="false">IF(N86="","",ROUND(IF(Settings!$B$27,MIN($M86,Settings!$B$29),$M86)*N86,0))</f>
        <v/>
      </c>
      <c r="Q86" s="34" t="str">
        <f aca="false">IF(N86="","",ROUND(IF(Settings!$B$27,MIN($M86,Settings!$B$30),$M86)*O86,0))</f>
        <v/>
      </c>
      <c r="R86" s="34" t="str">
        <f aca="false">IF(N86="","",P86+Q86)</f>
        <v/>
      </c>
      <c r="S86" s="34" t="str">
        <f aca="false">IF(N86="","",ROUND(MIN($M86,Settings!$B$29)*N86,0)+ROUND(MIN($M86,Settings!$B$30)*O86,0))</f>
        <v/>
      </c>
      <c r="T86" s="34" t="str">
        <f aca="false">IF(N86="","",IF(UPPER(L86)="N",0,S86))</f>
        <v/>
      </c>
      <c r="U86" s="25" t="str">
        <f aca="false">IF(N86="","",ROUND(R86*Settings!$B$18,0))</f>
        <v/>
      </c>
      <c r="V86" s="25" t="str">
        <f aca="false">IF(N86="","",ROUND(R86*Settings!$B$19,0)-X86)</f>
        <v/>
      </c>
      <c r="W86" s="25" t="str">
        <f aca="false">IF(N86="","",IF(Settings!$B$31,ROUND(R86*Settings!$B$22,0),0))</f>
        <v/>
      </c>
      <c r="X86" s="25" t="str">
        <f aca="false">IF(N86="","",MIN(ROUND(T86*Settings!$B$20,0),ROUND(R86*Settings!$B$19,0)))</f>
        <v/>
      </c>
      <c r="Y86" s="25" t="str">
        <f aca="false">IF(N86="","",IF(Settings!$B$31,ROUND(S86*Settings!$B$21,0),0))</f>
        <v/>
      </c>
      <c r="Z86" s="25" t="str">
        <f aca="false">IF(N86="","",U86+V86+X86+W86+Y86)</f>
        <v/>
      </c>
      <c r="AA86" s="7" t="str">
        <f aca="false">IF(COUNT(C86:H86)=0,"",TRIM(IF(UPPER(K86)="N","Not a PF member, skipped. ","")&amp;IF(AND(UPPER(K86)&lt;&gt;"N",N(M86)&lt;=0),"PF wage is zero, skipped. ","")&amp;IF(AND(UPPER(K86)&lt;&gt;"N",N(M86)&gt;0,UPPER(L86)="N"),"Pension not applicable, whole 12% goes to EPF. ","")&amp;IF(AND(ISNUMBER(H86),ABS(SUM(C86:G86)-N(H86))&gt;1),"Heads in the file add up to "&amp;SUM(C86:G86)&amp;", Gross is "&amp;H86&amp;" (a pay head may be missing). ","")&amp;IF(AND(Settings!$B$32,N(H86)&gt;0,ISNUMBER(M86),N(M86)&lt;H86*0.5-0.5),"50% check: PF wage is "&amp;TEXT(M86/H86,"0%")&amp;" of gross. ","")&amp;IF(AND(N(M86)&gt;0,UPPER(K86)&lt;&gt;"N",N(N86)+N(O86)=0),"No days to count. ","")))</f>
        <v/>
      </c>
    </row>
    <row r="87" customFormat="false" ht="15" hidden="false" customHeight="false" outlineLevel="0" collapsed="false">
      <c r="A87" s="14"/>
      <c r="B87" s="14"/>
      <c r="C87" s="17"/>
      <c r="D87" s="17"/>
      <c r="E87" s="17"/>
      <c r="F87" s="17"/>
      <c r="G87" s="17"/>
      <c r="H87" s="17"/>
      <c r="I87" s="14"/>
      <c r="J87" s="14"/>
      <c r="K87" s="14"/>
      <c r="L87" s="14"/>
      <c r="M87" s="34" t="str">
        <f aca="false">IF(COUNT(C87:H87)=0,"",IFERROR(MAX(0,ROUND(IF(Settings!$B$33,IF(H87="",SUM(C87:G87),H87)-SUMPRODUCT(($C$4:$G$4="Y")*C87:G87),SUMPRODUCT(($C$4:$G$4="Y")*C87:G87)),0)),"Check inputs"))</f>
        <v/>
      </c>
      <c r="N87" s="35" t="str">
        <f aca="false">IF(AND(N($M87)&gt;0,UPPER($K87)&lt;&gt;"N"),IF(Settings!$B$28,MAX(0,MIN(Settings!$B$16,IF(I87="",Settings!$B$16,I87)))/Settings!$B$15,1),"")</f>
        <v/>
      </c>
      <c r="O87" s="35" t="str">
        <f aca="false">IF(AND(N($M87)&gt;0,UPPER($K87)&lt;&gt;"N"),IF(Settings!$B$28,MAX(0,MIN(Settings!$B$17,IF(J87="",Settings!$B$17,J87)))/Settings!$B$15,0),"")</f>
        <v/>
      </c>
      <c r="P87" s="34" t="str">
        <f aca="false">IF(N87="","",ROUND(IF(Settings!$B$27,MIN($M87,Settings!$B$29),$M87)*N87,0))</f>
        <v/>
      </c>
      <c r="Q87" s="34" t="str">
        <f aca="false">IF(N87="","",ROUND(IF(Settings!$B$27,MIN($M87,Settings!$B$30),$M87)*O87,0))</f>
        <v/>
      </c>
      <c r="R87" s="34" t="str">
        <f aca="false">IF(N87="","",P87+Q87)</f>
        <v/>
      </c>
      <c r="S87" s="34" t="str">
        <f aca="false">IF(N87="","",ROUND(MIN($M87,Settings!$B$29)*N87,0)+ROUND(MIN($M87,Settings!$B$30)*O87,0))</f>
        <v/>
      </c>
      <c r="T87" s="34" t="str">
        <f aca="false">IF(N87="","",IF(UPPER(L87)="N",0,S87))</f>
        <v/>
      </c>
      <c r="U87" s="25" t="str">
        <f aca="false">IF(N87="","",ROUND(R87*Settings!$B$18,0))</f>
        <v/>
      </c>
      <c r="V87" s="25" t="str">
        <f aca="false">IF(N87="","",ROUND(R87*Settings!$B$19,0)-X87)</f>
        <v/>
      </c>
      <c r="W87" s="25" t="str">
        <f aca="false">IF(N87="","",IF(Settings!$B$31,ROUND(R87*Settings!$B$22,0),0))</f>
        <v/>
      </c>
      <c r="X87" s="25" t="str">
        <f aca="false">IF(N87="","",MIN(ROUND(T87*Settings!$B$20,0),ROUND(R87*Settings!$B$19,0)))</f>
        <v/>
      </c>
      <c r="Y87" s="25" t="str">
        <f aca="false">IF(N87="","",IF(Settings!$B$31,ROUND(S87*Settings!$B$21,0),0))</f>
        <v/>
      </c>
      <c r="Z87" s="25" t="str">
        <f aca="false">IF(N87="","",U87+V87+X87+W87+Y87)</f>
        <v/>
      </c>
      <c r="AA87" s="7" t="str">
        <f aca="false">IF(COUNT(C87:H87)=0,"",TRIM(IF(UPPER(K87)="N","Not a PF member, skipped. ","")&amp;IF(AND(UPPER(K87)&lt;&gt;"N",N(M87)&lt;=0),"PF wage is zero, skipped. ","")&amp;IF(AND(UPPER(K87)&lt;&gt;"N",N(M87)&gt;0,UPPER(L87)="N"),"Pension not applicable, whole 12% goes to EPF. ","")&amp;IF(AND(ISNUMBER(H87),ABS(SUM(C87:G87)-N(H87))&gt;1),"Heads in the file add up to "&amp;SUM(C87:G87)&amp;", Gross is "&amp;H87&amp;" (a pay head may be missing). ","")&amp;IF(AND(Settings!$B$32,N(H87)&gt;0,ISNUMBER(M87),N(M87)&lt;H87*0.5-0.5),"50% check: PF wage is "&amp;TEXT(M87/H87,"0%")&amp;" of gross. ","")&amp;IF(AND(N(M87)&gt;0,UPPER(K87)&lt;&gt;"N",N(N87)+N(O87)=0),"No days to count. ","")))</f>
        <v/>
      </c>
    </row>
    <row r="88" customFormat="false" ht="15" hidden="false" customHeight="false" outlineLevel="0" collapsed="false">
      <c r="A88" s="14"/>
      <c r="B88" s="14"/>
      <c r="C88" s="17"/>
      <c r="D88" s="17"/>
      <c r="E88" s="17"/>
      <c r="F88" s="17"/>
      <c r="G88" s="17"/>
      <c r="H88" s="17"/>
      <c r="I88" s="14"/>
      <c r="J88" s="14"/>
      <c r="K88" s="14"/>
      <c r="L88" s="14"/>
      <c r="M88" s="34" t="str">
        <f aca="false">IF(COUNT(C88:H88)=0,"",IFERROR(MAX(0,ROUND(IF(Settings!$B$33,IF(H88="",SUM(C88:G88),H88)-SUMPRODUCT(($C$4:$G$4="Y")*C88:G88),SUMPRODUCT(($C$4:$G$4="Y")*C88:G88)),0)),"Check inputs"))</f>
        <v/>
      </c>
      <c r="N88" s="35" t="str">
        <f aca="false">IF(AND(N($M88)&gt;0,UPPER($K88)&lt;&gt;"N"),IF(Settings!$B$28,MAX(0,MIN(Settings!$B$16,IF(I88="",Settings!$B$16,I88)))/Settings!$B$15,1),"")</f>
        <v/>
      </c>
      <c r="O88" s="35" t="str">
        <f aca="false">IF(AND(N($M88)&gt;0,UPPER($K88)&lt;&gt;"N"),IF(Settings!$B$28,MAX(0,MIN(Settings!$B$17,IF(J88="",Settings!$B$17,J88)))/Settings!$B$15,0),"")</f>
        <v/>
      </c>
      <c r="P88" s="34" t="str">
        <f aca="false">IF(N88="","",ROUND(IF(Settings!$B$27,MIN($M88,Settings!$B$29),$M88)*N88,0))</f>
        <v/>
      </c>
      <c r="Q88" s="34" t="str">
        <f aca="false">IF(N88="","",ROUND(IF(Settings!$B$27,MIN($M88,Settings!$B$30),$M88)*O88,0))</f>
        <v/>
      </c>
      <c r="R88" s="34" t="str">
        <f aca="false">IF(N88="","",P88+Q88)</f>
        <v/>
      </c>
      <c r="S88" s="34" t="str">
        <f aca="false">IF(N88="","",ROUND(MIN($M88,Settings!$B$29)*N88,0)+ROUND(MIN($M88,Settings!$B$30)*O88,0))</f>
        <v/>
      </c>
      <c r="T88" s="34" t="str">
        <f aca="false">IF(N88="","",IF(UPPER(L88)="N",0,S88))</f>
        <v/>
      </c>
      <c r="U88" s="25" t="str">
        <f aca="false">IF(N88="","",ROUND(R88*Settings!$B$18,0))</f>
        <v/>
      </c>
      <c r="V88" s="25" t="str">
        <f aca="false">IF(N88="","",ROUND(R88*Settings!$B$19,0)-X88)</f>
        <v/>
      </c>
      <c r="W88" s="25" t="str">
        <f aca="false">IF(N88="","",IF(Settings!$B$31,ROUND(R88*Settings!$B$22,0),0))</f>
        <v/>
      </c>
      <c r="X88" s="25" t="str">
        <f aca="false">IF(N88="","",MIN(ROUND(T88*Settings!$B$20,0),ROUND(R88*Settings!$B$19,0)))</f>
        <v/>
      </c>
      <c r="Y88" s="25" t="str">
        <f aca="false">IF(N88="","",IF(Settings!$B$31,ROUND(S88*Settings!$B$21,0),0))</f>
        <v/>
      </c>
      <c r="Z88" s="25" t="str">
        <f aca="false">IF(N88="","",U88+V88+X88+W88+Y88)</f>
        <v/>
      </c>
      <c r="AA88" s="7" t="str">
        <f aca="false">IF(COUNT(C88:H88)=0,"",TRIM(IF(UPPER(K88)="N","Not a PF member, skipped. ","")&amp;IF(AND(UPPER(K88)&lt;&gt;"N",N(M88)&lt;=0),"PF wage is zero, skipped. ","")&amp;IF(AND(UPPER(K88)&lt;&gt;"N",N(M88)&gt;0,UPPER(L88)="N"),"Pension not applicable, whole 12% goes to EPF. ","")&amp;IF(AND(ISNUMBER(H88),ABS(SUM(C88:G88)-N(H88))&gt;1),"Heads in the file add up to "&amp;SUM(C88:G88)&amp;", Gross is "&amp;H88&amp;" (a pay head may be missing). ","")&amp;IF(AND(Settings!$B$32,N(H88)&gt;0,ISNUMBER(M88),N(M88)&lt;H88*0.5-0.5),"50% check: PF wage is "&amp;TEXT(M88/H88,"0%")&amp;" of gross. ","")&amp;IF(AND(N(M88)&gt;0,UPPER(K88)&lt;&gt;"N",N(N88)+N(O88)=0),"No days to count. ","")))</f>
        <v/>
      </c>
    </row>
    <row r="89" customFormat="false" ht="15" hidden="false" customHeight="false" outlineLevel="0" collapsed="false">
      <c r="A89" s="14"/>
      <c r="B89" s="14"/>
      <c r="C89" s="17"/>
      <c r="D89" s="17"/>
      <c r="E89" s="17"/>
      <c r="F89" s="17"/>
      <c r="G89" s="17"/>
      <c r="H89" s="17"/>
      <c r="I89" s="14"/>
      <c r="J89" s="14"/>
      <c r="K89" s="14"/>
      <c r="L89" s="14"/>
      <c r="M89" s="34" t="str">
        <f aca="false">IF(COUNT(C89:H89)=0,"",IFERROR(MAX(0,ROUND(IF(Settings!$B$33,IF(H89="",SUM(C89:G89),H89)-SUMPRODUCT(($C$4:$G$4="Y")*C89:G89),SUMPRODUCT(($C$4:$G$4="Y")*C89:G89)),0)),"Check inputs"))</f>
        <v/>
      </c>
      <c r="N89" s="35" t="str">
        <f aca="false">IF(AND(N($M89)&gt;0,UPPER($K89)&lt;&gt;"N"),IF(Settings!$B$28,MAX(0,MIN(Settings!$B$16,IF(I89="",Settings!$B$16,I89)))/Settings!$B$15,1),"")</f>
        <v/>
      </c>
      <c r="O89" s="35" t="str">
        <f aca="false">IF(AND(N($M89)&gt;0,UPPER($K89)&lt;&gt;"N"),IF(Settings!$B$28,MAX(0,MIN(Settings!$B$17,IF(J89="",Settings!$B$17,J89)))/Settings!$B$15,0),"")</f>
        <v/>
      </c>
      <c r="P89" s="34" t="str">
        <f aca="false">IF(N89="","",ROUND(IF(Settings!$B$27,MIN($M89,Settings!$B$29),$M89)*N89,0))</f>
        <v/>
      </c>
      <c r="Q89" s="34" t="str">
        <f aca="false">IF(N89="","",ROUND(IF(Settings!$B$27,MIN($M89,Settings!$B$30),$M89)*O89,0))</f>
        <v/>
      </c>
      <c r="R89" s="34" t="str">
        <f aca="false">IF(N89="","",P89+Q89)</f>
        <v/>
      </c>
      <c r="S89" s="34" t="str">
        <f aca="false">IF(N89="","",ROUND(MIN($M89,Settings!$B$29)*N89,0)+ROUND(MIN($M89,Settings!$B$30)*O89,0))</f>
        <v/>
      </c>
      <c r="T89" s="34" t="str">
        <f aca="false">IF(N89="","",IF(UPPER(L89)="N",0,S89))</f>
        <v/>
      </c>
      <c r="U89" s="25" t="str">
        <f aca="false">IF(N89="","",ROUND(R89*Settings!$B$18,0))</f>
        <v/>
      </c>
      <c r="V89" s="25" t="str">
        <f aca="false">IF(N89="","",ROUND(R89*Settings!$B$19,0)-X89)</f>
        <v/>
      </c>
      <c r="W89" s="25" t="str">
        <f aca="false">IF(N89="","",IF(Settings!$B$31,ROUND(R89*Settings!$B$22,0),0))</f>
        <v/>
      </c>
      <c r="X89" s="25" t="str">
        <f aca="false">IF(N89="","",MIN(ROUND(T89*Settings!$B$20,0),ROUND(R89*Settings!$B$19,0)))</f>
        <v/>
      </c>
      <c r="Y89" s="25" t="str">
        <f aca="false">IF(N89="","",IF(Settings!$B$31,ROUND(S89*Settings!$B$21,0),0))</f>
        <v/>
      </c>
      <c r="Z89" s="25" t="str">
        <f aca="false">IF(N89="","",U89+V89+X89+W89+Y89)</f>
        <v/>
      </c>
      <c r="AA89" s="7" t="str">
        <f aca="false">IF(COUNT(C89:H89)=0,"",TRIM(IF(UPPER(K89)="N","Not a PF member, skipped. ","")&amp;IF(AND(UPPER(K89)&lt;&gt;"N",N(M89)&lt;=0),"PF wage is zero, skipped. ","")&amp;IF(AND(UPPER(K89)&lt;&gt;"N",N(M89)&gt;0,UPPER(L89)="N"),"Pension not applicable, whole 12% goes to EPF. ","")&amp;IF(AND(ISNUMBER(H89),ABS(SUM(C89:G89)-N(H89))&gt;1),"Heads in the file add up to "&amp;SUM(C89:G89)&amp;", Gross is "&amp;H89&amp;" (a pay head may be missing). ","")&amp;IF(AND(Settings!$B$32,N(H89)&gt;0,ISNUMBER(M89),N(M89)&lt;H89*0.5-0.5),"50% check: PF wage is "&amp;TEXT(M89/H89,"0%")&amp;" of gross. ","")&amp;IF(AND(N(M89)&gt;0,UPPER(K89)&lt;&gt;"N",N(N89)+N(O89)=0),"No days to count. ","")))</f>
        <v/>
      </c>
    </row>
    <row r="90" customFormat="false" ht="15" hidden="false" customHeight="false" outlineLevel="0" collapsed="false">
      <c r="A90" s="14"/>
      <c r="B90" s="14"/>
      <c r="C90" s="17"/>
      <c r="D90" s="17"/>
      <c r="E90" s="17"/>
      <c r="F90" s="17"/>
      <c r="G90" s="17"/>
      <c r="H90" s="17"/>
      <c r="I90" s="14"/>
      <c r="J90" s="14"/>
      <c r="K90" s="14"/>
      <c r="L90" s="14"/>
      <c r="M90" s="34" t="str">
        <f aca="false">IF(COUNT(C90:H90)=0,"",IFERROR(MAX(0,ROUND(IF(Settings!$B$33,IF(H90="",SUM(C90:G90),H90)-SUMPRODUCT(($C$4:$G$4="Y")*C90:G90),SUMPRODUCT(($C$4:$G$4="Y")*C90:G90)),0)),"Check inputs"))</f>
        <v/>
      </c>
      <c r="N90" s="35" t="str">
        <f aca="false">IF(AND(N($M90)&gt;0,UPPER($K90)&lt;&gt;"N"),IF(Settings!$B$28,MAX(0,MIN(Settings!$B$16,IF(I90="",Settings!$B$16,I90)))/Settings!$B$15,1),"")</f>
        <v/>
      </c>
      <c r="O90" s="35" t="str">
        <f aca="false">IF(AND(N($M90)&gt;0,UPPER($K90)&lt;&gt;"N"),IF(Settings!$B$28,MAX(0,MIN(Settings!$B$17,IF(J90="",Settings!$B$17,J90)))/Settings!$B$15,0),"")</f>
        <v/>
      </c>
      <c r="P90" s="34" t="str">
        <f aca="false">IF(N90="","",ROUND(IF(Settings!$B$27,MIN($M90,Settings!$B$29),$M90)*N90,0))</f>
        <v/>
      </c>
      <c r="Q90" s="34" t="str">
        <f aca="false">IF(N90="","",ROUND(IF(Settings!$B$27,MIN($M90,Settings!$B$30),$M90)*O90,0))</f>
        <v/>
      </c>
      <c r="R90" s="34" t="str">
        <f aca="false">IF(N90="","",P90+Q90)</f>
        <v/>
      </c>
      <c r="S90" s="34" t="str">
        <f aca="false">IF(N90="","",ROUND(MIN($M90,Settings!$B$29)*N90,0)+ROUND(MIN($M90,Settings!$B$30)*O90,0))</f>
        <v/>
      </c>
      <c r="T90" s="34" t="str">
        <f aca="false">IF(N90="","",IF(UPPER(L90)="N",0,S90))</f>
        <v/>
      </c>
      <c r="U90" s="25" t="str">
        <f aca="false">IF(N90="","",ROUND(R90*Settings!$B$18,0))</f>
        <v/>
      </c>
      <c r="V90" s="25" t="str">
        <f aca="false">IF(N90="","",ROUND(R90*Settings!$B$19,0)-X90)</f>
        <v/>
      </c>
      <c r="W90" s="25" t="str">
        <f aca="false">IF(N90="","",IF(Settings!$B$31,ROUND(R90*Settings!$B$22,0),0))</f>
        <v/>
      </c>
      <c r="X90" s="25" t="str">
        <f aca="false">IF(N90="","",MIN(ROUND(T90*Settings!$B$20,0),ROUND(R90*Settings!$B$19,0)))</f>
        <v/>
      </c>
      <c r="Y90" s="25" t="str">
        <f aca="false">IF(N90="","",IF(Settings!$B$31,ROUND(S90*Settings!$B$21,0),0))</f>
        <v/>
      </c>
      <c r="Z90" s="25" t="str">
        <f aca="false">IF(N90="","",U90+V90+X90+W90+Y90)</f>
        <v/>
      </c>
      <c r="AA90" s="7" t="str">
        <f aca="false">IF(COUNT(C90:H90)=0,"",TRIM(IF(UPPER(K90)="N","Not a PF member, skipped. ","")&amp;IF(AND(UPPER(K90)&lt;&gt;"N",N(M90)&lt;=0),"PF wage is zero, skipped. ","")&amp;IF(AND(UPPER(K90)&lt;&gt;"N",N(M90)&gt;0,UPPER(L90)="N"),"Pension not applicable, whole 12% goes to EPF. ","")&amp;IF(AND(ISNUMBER(H90),ABS(SUM(C90:G90)-N(H90))&gt;1),"Heads in the file add up to "&amp;SUM(C90:G90)&amp;", Gross is "&amp;H90&amp;" (a pay head may be missing). ","")&amp;IF(AND(Settings!$B$32,N(H90)&gt;0,ISNUMBER(M90),N(M90)&lt;H90*0.5-0.5),"50% check: PF wage is "&amp;TEXT(M90/H90,"0%")&amp;" of gross. ","")&amp;IF(AND(N(M90)&gt;0,UPPER(K90)&lt;&gt;"N",N(N90)+N(O90)=0),"No days to count. ","")))</f>
        <v/>
      </c>
    </row>
    <row r="91" customFormat="false" ht="15" hidden="false" customHeight="false" outlineLevel="0" collapsed="false">
      <c r="A91" s="14"/>
      <c r="B91" s="14"/>
      <c r="C91" s="17"/>
      <c r="D91" s="17"/>
      <c r="E91" s="17"/>
      <c r="F91" s="17"/>
      <c r="G91" s="17"/>
      <c r="H91" s="17"/>
      <c r="I91" s="14"/>
      <c r="J91" s="14"/>
      <c r="K91" s="14"/>
      <c r="L91" s="14"/>
      <c r="M91" s="34" t="str">
        <f aca="false">IF(COUNT(C91:H91)=0,"",IFERROR(MAX(0,ROUND(IF(Settings!$B$33,IF(H91="",SUM(C91:G91),H91)-SUMPRODUCT(($C$4:$G$4="Y")*C91:G91),SUMPRODUCT(($C$4:$G$4="Y")*C91:G91)),0)),"Check inputs"))</f>
        <v/>
      </c>
      <c r="N91" s="35" t="str">
        <f aca="false">IF(AND(N($M91)&gt;0,UPPER($K91)&lt;&gt;"N"),IF(Settings!$B$28,MAX(0,MIN(Settings!$B$16,IF(I91="",Settings!$B$16,I91)))/Settings!$B$15,1),"")</f>
        <v/>
      </c>
      <c r="O91" s="35" t="str">
        <f aca="false">IF(AND(N($M91)&gt;0,UPPER($K91)&lt;&gt;"N"),IF(Settings!$B$28,MAX(0,MIN(Settings!$B$17,IF(J91="",Settings!$B$17,J91)))/Settings!$B$15,0),"")</f>
        <v/>
      </c>
      <c r="P91" s="34" t="str">
        <f aca="false">IF(N91="","",ROUND(IF(Settings!$B$27,MIN($M91,Settings!$B$29),$M91)*N91,0))</f>
        <v/>
      </c>
      <c r="Q91" s="34" t="str">
        <f aca="false">IF(N91="","",ROUND(IF(Settings!$B$27,MIN($M91,Settings!$B$30),$M91)*O91,0))</f>
        <v/>
      </c>
      <c r="R91" s="34" t="str">
        <f aca="false">IF(N91="","",P91+Q91)</f>
        <v/>
      </c>
      <c r="S91" s="34" t="str">
        <f aca="false">IF(N91="","",ROUND(MIN($M91,Settings!$B$29)*N91,0)+ROUND(MIN($M91,Settings!$B$30)*O91,0))</f>
        <v/>
      </c>
      <c r="T91" s="34" t="str">
        <f aca="false">IF(N91="","",IF(UPPER(L91)="N",0,S91))</f>
        <v/>
      </c>
      <c r="U91" s="25" t="str">
        <f aca="false">IF(N91="","",ROUND(R91*Settings!$B$18,0))</f>
        <v/>
      </c>
      <c r="V91" s="25" t="str">
        <f aca="false">IF(N91="","",ROUND(R91*Settings!$B$19,0)-X91)</f>
        <v/>
      </c>
      <c r="W91" s="25" t="str">
        <f aca="false">IF(N91="","",IF(Settings!$B$31,ROUND(R91*Settings!$B$22,0),0))</f>
        <v/>
      </c>
      <c r="X91" s="25" t="str">
        <f aca="false">IF(N91="","",MIN(ROUND(T91*Settings!$B$20,0),ROUND(R91*Settings!$B$19,0)))</f>
        <v/>
      </c>
      <c r="Y91" s="25" t="str">
        <f aca="false">IF(N91="","",IF(Settings!$B$31,ROUND(S91*Settings!$B$21,0),0))</f>
        <v/>
      </c>
      <c r="Z91" s="25" t="str">
        <f aca="false">IF(N91="","",U91+V91+X91+W91+Y91)</f>
        <v/>
      </c>
      <c r="AA91" s="7" t="str">
        <f aca="false">IF(COUNT(C91:H91)=0,"",TRIM(IF(UPPER(K91)="N","Not a PF member, skipped. ","")&amp;IF(AND(UPPER(K91)&lt;&gt;"N",N(M91)&lt;=0),"PF wage is zero, skipped. ","")&amp;IF(AND(UPPER(K91)&lt;&gt;"N",N(M91)&gt;0,UPPER(L91)="N"),"Pension not applicable, whole 12% goes to EPF. ","")&amp;IF(AND(ISNUMBER(H91),ABS(SUM(C91:G91)-N(H91))&gt;1),"Heads in the file add up to "&amp;SUM(C91:G91)&amp;", Gross is "&amp;H91&amp;" (a pay head may be missing). ","")&amp;IF(AND(Settings!$B$32,N(H91)&gt;0,ISNUMBER(M91),N(M91)&lt;H91*0.5-0.5),"50% check: PF wage is "&amp;TEXT(M91/H91,"0%")&amp;" of gross. ","")&amp;IF(AND(N(M91)&gt;0,UPPER(K91)&lt;&gt;"N",N(N91)+N(O91)=0),"No days to count. ","")))</f>
        <v/>
      </c>
    </row>
    <row r="92" customFormat="false" ht="15" hidden="false" customHeight="false" outlineLevel="0" collapsed="false">
      <c r="A92" s="14"/>
      <c r="B92" s="14"/>
      <c r="C92" s="17"/>
      <c r="D92" s="17"/>
      <c r="E92" s="17"/>
      <c r="F92" s="17"/>
      <c r="G92" s="17"/>
      <c r="H92" s="17"/>
      <c r="I92" s="14"/>
      <c r="J92" s="14"/>
      <c r="K92" s="14"/>
      <c r="L92" s="14"/>
      <c r="M92" s="34" t="str">
        <f aca="false">IF(COUNT(C92:H92)=0,"",IFERROR(MAX(0,ROUND(IF(Settings!$B$33,IF(H92="",SUM(C92:G92),H92)-SUMPRODUCT(($C$4:$G$4="Y")*C92:G92),SUMPRODUCT(($C$4:$G$4="Y")*C92:G92)),0)),"Check inputs"))</f>
        <v/>
      </c>
      <c r="N92" s="35" t="str">
        <f aca="false">IF(AND(N($M92)&gt;0,UPPER($K92)&lt;&gt;"N"),IF(Settings!$B$28,MAX(0,MIN(Settings!$B$16,IF(I92="",Settings!$B$16,I92)))/Settings!$B$15,1),"")</f>
        <v/>
      </c>
      <c r="O92" s="35" t="str">
        <f aca="false">IF(AND(N($M92)&gt;0,UPPER($K92)&lt;&gt;"N"),IF(Settings!$B$28,MAX(0,MIN(Settings!$B$17,IF(J92="",Settings!$B$17,J92)))/Settings!$B$15,0),"")</f>
        <v/>
      </c>
      <c r="P92" s="34" t="str">
        <f aca="false">IF(N92="","",ROUND(IF(Settings!$B$27,MIN($M92,Settings!$B$29),$M92)*N92,0))</f>
        <v/>
      </c>
      <c r="Q92" s="34" t="str">
        <f aca="false">IF(N92="","",ROUND(IF(Settings!$B$27,MIN($M92,Settings!$B$30),$M92)*O92,0))</f>
        <v/>
      </c>
      <c r="R92" s="34" t="str">
        <f aca="false">IF(N92="","",P92+Q92)</f>
        <v/>
      </c>
      <c r="S92" s="34" t="str">
        <f aca="false">IF(N92="","",ROUND(MIN($M92,Settings!$B$29)*N92,0)+ROUND(MIN($M92,Settings!$B$30)*O92,0))</f>
        <v/>
      </c>
      <c r="T92" s="34" t="str">
        <f aca="false">IF(N92="","",IF(UPPER(L92)="N",0,S92))</f>
        <v/>
      </c>
      <c r="U92" s="25" t="str">
        <f aca="false">IF(N92="","",ROUND(R92*Settings!$B$18,0))</f>
        <v/>
      </c>
      <c r="V92" s="25" t="str">
        <f aca="false">IF(N92="","",ROUND(R92*Settings!$B$19,0)-X92)</f>
        <v/>
      </c>
      <c r="W92" s="25" t="str">
        <f aca="false">IF(N92="","",IF(Settings!$B$31,ROUND(R92*Settings!$B$22,0),0))</f>
        <v/>
      </c>
      <c r="X92" s="25" t="str">
        <f aca="false">IF(N92="","",MIN(ROUND(T92*Settings!$B$20,0),ROUND(R92*Settings!$B$19,0)))</f>
        <v/>
      </c>
      <c r="Y92" s="25" t="str">
        <f aca="false">IF(N92="","",IF(Settings!$B$31,ROUND(S92*Settings!$B$21,0),0))</f>
        <v/>
      </c>
      <c r="Z92" s="25" t="str">
        <f aca="false">IF(N92="","",U92+V92+X92+W92+Y92)</f>
        <v/>
      </c>
      <c r="AA92" s="7" t="str">
        <f aca="false">IF(COUNT(C92:H92)=0,"",TRIM(IF(UPPER(K92)="N","Not a PF member, skipped. ","")&amp;IF(AND(UPPER(K92)&lt;&gt;"N",N(M92)&lt;=0),"PF wage is zero, skipped. ","")&amp;IF(AND(UPPER(K92)&lt;&gt;"N",N(M92)&gt;0,UPPER(L92)="N"),"Pension not applicable, whole 12% goes to EPF. ","")&amp;IF(AND(ISNUMBER(H92),ABS(SUM(C92:G92)-N(H92))&gt;1),"Heads in the file add up to "&amp;SUM(C92:G92)&amp;", Gross is "&amp;H92&amp;" (a pay head may be missing). ","")&amp;IF(AND(Settings!$B$32,N(H92)&gt;0,ISNUMBER(M92),N(M92)&lt;H92*0.5-0.5),"50% check: PF wage is "&amp;TEXT(M92/H92,"0%")&amp;" of gross. ","")&amp;IF(AND(N(M92)&gt;0,UPPER(K92)&lt;&gt;"N",N(N92)+N(O92)=0),"No days to count. ","")))</f>
        <v/>
      </c>
    </row>
    <row r="93" customFormat="false" ht="15" hidden="false" customHeight="false" outlineLevel="0" collapsed="false">
      <c r="A93" s="14"/>
      <c r="B93" s="14"/>
      <c r="C93" s="17"/>
      <c r="D93" s="17"/>
      <c r="E93" s="17"/>
      <c r="F93" s="17"/>
      <c r="G93" s="17"/>
      <c r="H93" s="17"/>
      <c r="I93" s="14"/>
      <c r="J93" s="14"/>
      <c r="K93" s="14"/>
      <c r="L93" s="14"/>
      <c r="M93" s="34" t="str">
        <f aca="false">IF(COUNT(C93:H93)=0,"",IFERROR(MAX(0,ROUND(IF(Settings!$B$33,IF(H93="",SUM(C93:G93),H93)-SUMPRODUCT(($C$4:$G$4="Y")*C93:G93),SUMPRODUCT(($C$4:$G$4="Y")*C93:G93)),0)),"Check inputs"))</f>
        <v/>
      </c>
      <c r="N93" s="35" t="str">
        <f aca="false">IF(AND(N($M93)&gt;0,UPPER($K93)&lt;&gt;"N"),IF(Settings!$B$28,MAX(0,MIN(Settings!$B$16,IF(I93="",Settings!$B$16,I93)))/Settings!$B$15,1),"")</f>
        <v/>
      </c>
      <c r="O93" s="35" t="str">
        <f aca="false">IF(AND(N($M93)&gt;0,UPPER($K93)&lt;&gt;"N"),IF(Settings!$B$28,MAX(0,MIN(Settings!$B$17,IF(J93="",Settings!$B$17,J93)))/Settings!$B$15,0),"")</f>
        <v/>
      </c>
      <c r="P93" s="34" t="str">
        <f aca="false">IF(N93="","",ROUND(IF(Settings!$B$27,MIN($M93,Settings!$B$29),$M93)*N93,0))</f>
        <v/>
      </c>
      <c r="Q93" s="34" t="str">
        <f aca="false">IF(N93="","",ROUND(IF(Settings!$B$27,MIN($M93,Settings!$B$30),$M93)*O93,0))</f>
        <v/>
      </c>
      <c r="R93" s="34" t="str">
        <f aca="false">IF(N93="","",P93+Q93)</f>
        <v/>
      </c>
      <c r="S93" s="34" t="str">
        <f aca="false">IF(N93="","",ROUND(MIN($M93,Settings!$B$29)*N93,0)+ROUND(MIN($M93,Settings!$B$30)*O93,0))</f>
        <v/>
      </c>
      <c r="T93" s="34" t="str">
        <f aca="false">IF(N93="","",IF(UPPER(L93)="N",0,S93))</f>
        <v/>
      </c>
      <c r="U93" s="25" t="str">
        <f aca="false">IF(N93="","",ROUND(R93*Settings!$B$18,0))</f>
        <v/>
      </c>
      <c r="V93" s="25" t="str">
        <f aca="false">IF(N93="","",ROUND(R93*Settings!$B$19,0)-X93)</f>
        <v/>
      </c>
      <c r="W93" s="25" t="str">
        <f aca="false">IF(N93="","",IF(Settings!$B$31,ROUND(R93*Settings!$B$22,0),0))</f>
        <v/>
      </c>
      <c r="X93" s="25" t="str">
        <f aca="false">IF(N93="","",MIN(ROUND(T93*Settings!$B$20,0),ROUND(R93*Settings!$B$19,0)))</f>
        <v/>
      </c>
      <c r="Y93" s="25" t="str">
        <f aca="false">IF(N93="","",IF(Settings!$B$31,ROUND(S93*Settings!$B$21,0),0))</f>
        <v/>
      </c>
      <c r="Z93" s="25" t="str">
        <f aca="false">IF(N93="","",U93+V93+X93+W93+Y93)</f>
        <v/>
      </c>
      <c r="AA93" s="7" t="str">
        <f aca="false">IF(COUNT(C93:H93)=0,"",TRIM(IF(UPPER(K93)="N","Not a PF member, skipped. ","")&amp;IF(AND(UPPER(K93)&lt;&gt;"N",N(M93)&lt;=0),"PF wage is zero, skipped. ","")&amp;IF(AND(UPPER(K93)&lt;&gt;"N",N(M93)&gt;0,UPPER(L93)="N"),"Pension not applicable, whole 12% goes to EPF. ","")&amp;IF(AND(ISNUMBER(H93),ABS(SUM(C93:G93)-N(H93))&gt;1),"Heads in the file add up to "&amp;SUM(C93:G93)&amp;", Gross is "&amp;H93&amp;" (a pay head may be missing). ","")&amp;IF(AND(Settings!$B$32,N(H93)&gt;0,ISNUMBER(M93),N(M93)&lt;H93*0.5-0.5),"50% check: PF wage is "&amp;TEXT(M93/H93,"0%")&amp;" of gross. ","")&amp;IF(AND(N(M93)&gt;0,UPPER(K93)&lt;&gt;"N",N(N93)+N(O93)=0),"No days to count. ","")))</f>
        <v/>
      </c>
    </row>
    <row r="94" customFormat="false" ht="15" hidden="false" customHeight="false" outlineLevel="0" collapsed="false">
      <c r="A94" s="14"/>
      <c r="B94" s="14"/>
      <c r="C94" s="17"/>
      <c r="D94" s="17"/>
      <c r="E94" s="17"/>
      <c r="F94" s="17"/>
      <c r="G94" s="17"/>
      <c r="H94" s="17"/>
      <c r="I94" s="14"/>
      <c r="J94" s="14"/>
      <c r="K94" s="14"/>
      <c r="L94" s="14"/>
      <c r="M94" s="34" t="str">
        <f aca="false">IF(COUNT(C94:H94)=0,"",IFERROR(MAX(0,ROUND(IF(Settings!$B$33,IF(H94="",SUM(C94:G94),H94)-SUMPRODUCT(($C$4:$G$4="Y")*C94:G94),SUMPRODUCT(($C$4:$G$4="Y")*C94:G94)),0)),"Check inputs"))</f>
        <v/>
      </c>
      <c r="N94" s="35" t="str">
        <f aca="false">IF(AND(N($M94)&gt;0,UPPER($K94)&lt;&gt;"N"),IF(Settings!$B$28,MAX(0,MIN(Settings!$B$16,IF(I94="",Settings!$B$16,I94)))/Settings!$B$15,1),"")</f>
        <v/>
      </c>
      <c r="O94" s="35" t="str">
        <f aca="false">IF(AND(N($M94)&gt;0,UPPER($K94)&lt;&gt;"N"),IF(Settings!$B$28,MAX(0,MIN(Settings!$B$17,IF(J94="",Settings!$B$17,J94)))/Settings!$B$15,0),"")</f>
        <v/>
      </c>
      <c r="P94" s="34" t="str">
        <f aca="false">IF(N94="","",ROUND(IF(Settings!$B$27,MIN($M94,Settings!$B$29),$M94)*N94,0))</f>
        <v/>
      </c>
      <c r="Q94" s="34" t="str">
        <f aca="false">IF(N94="","",ROUND(IF(Settings!$B$27,MIN($M94,Settings!$B$30),$M94)*O94,0))</f>
        <v/>
      </c>
      <c r="R94" s="34" t="str">
        <f aca="false">IF(N94="","",P94+Q94)</f>
        <v/>
      </c>
      <c r="S94" s="34" t="str">
        <f aca="false">IF(N94="","",ROUND(MIN($M94,Settings!$B$29)*N94,0)+ROUND(MIN($M94,Settings!$B$30)*O94,0))</f>
        <v/>
      </c>
      <c r="T94" s="34" t="str">
        <f aca="false">IF(N94="","",IF(UPPER(L94)="N",0,S94))</f>
        <v/>
      </c>
      <c r="U94" s="25" t="str">
        <f aca="false">IF(N94="","",ROUND(R94*Settings!$B$18,0))</f>
        <v/>
      </c>
      <c r="V94" s="25" t="str">
        <f aca="false">IF(N94="","",ROUND(R94*Settings!$B$19,0)-X94)</f>
        <v/>
      </c>
      <c r="W94" s="25" t="str">
        <f aca="false">IF(N94="","",IF(Settings!$B$31,ROUND(R94*Settings!$B$22,0),0))</f>
        <v/>
      </c>
      <c r="X94" s="25" t="str">
        <f aca="false">IF(N94="","",MIN(ROUND(T94*Settings!$B$20,0),ROUND(R94*Settings!$B$19,0)))</f>
        <v/>
      </c>
      <c r="Y94" s="25" t="str">
        <f aca="false">IF(N94="","",IF(Settings!$B$31,ROUND(S94*Settings!$B$21,0),0))</f>
        <v/>
      </c>
      <c r="Z94" s="25" t="str">
        <f aca="false">IF(N94="","",U94+V94+X94+W94+Y94)</f>
        <v/>
      </c>
      <c r="AA94" s="7" t="str">
        <f aca="false">IF(COUNT(C94:H94)=0,"",TRIM(IF(UPPER(K94)="N","Not a PF member, skipped. ","")&amp;IF(AND(UPPER(K94)&lt;&gt;"N",N(M94)&lt;=0),"PF wage is zero, skipped. ","")&amp;IF(AND(UPPER(K94)&lt;&gt;"N",N(M94)&gt;0,UPPER(L94)="N"),"Pension not applicable, whole 12% goes to EPF. ","")&amp;IF(AND(ISNUMBER(H94),ABS(SUM(C94:G94)-N(H94))&gt;1),"Heads in the file add up to "&amp;SUM(C94:G94)&amp;", Gross is "&amp;H94&amp;" (a pay head may be missing). ","")&amp;IF(AND(Settings!$B$32,N(H94)&gt;0,ISNUMBER(M94),N(M94)&lt;H94*0.5-0.5),"50% check: PF wage is "&amp;TEXT(M94/H94,"0%")&amp;" of gross. ","")&amp;IF(AND(N(M94)&gt;0,UPPER(K94)&lt;&gt;"N",N(N94)+N(O94)=0),"No days to count. ","")))</f>
        <v/>
      </c>
    </row>
    <row r="95" customFormat="false" ht="15" hidden="false" customHeight="false" outlineLevel="0" collapsed="false">
      <c r="A95" s="14"/>
      <c r="B95" s="14"/>
      <c r="C95" s="17"/>
      <c r="D95" s="17"/>
      <c r="E95" s="17"/>
      <c r="F95" s="17"/>
      <c r="G95" s="17"/>
      <c r="H95" s="17"/>
      <c r="I95" s="14"/>
      <c r="J95" s="14"/>
      <c r="K95" s="14"/>
      <c r="L95" s="14"/>
      <c r="M95" s="34" t="str">
        <f aca="false">IF(COUNT(C95:H95)=0,"",IFERROR(MAX(0,ROUND(IF(Settings!$B$33,IF(H95="",SUM(C95:G95),H95)-SUMPRODUCT(($C$4:$G$4="Y")*C95:G95),SUMPRODUCT(($C$4:$G$4="Y")*C95:G95)),0)),"Check inputs"))</f>
        <v/>
      </c>
      <c r="N95" s="35" t="str">
        <f aca="false">IF(AND(N($M95)&gt;0,UPPER($K95)&lt;&gt;"N"),IF(Settings!$B$28,MAX(0,MIN(Settings!$B$16,IF(I95="",Settings!$B$16,I95)))/Settings!$B$15,1),"")</f>
        <v/>
      </c>
      <c r="O95" s="35" t="str">
        <f aca="false">IF(AND(N($M95)&gt;0,UPPER($K95)&lt;&gt;"N"),IF(Settings!$B$28,MAX(0,MIN(Settings!$B$17,IF(J95="",Settings!$B$17,J95)))/Settings!$B$15,0),"")</f>
        <v/>
      </c>
      <c r="P95" s="34" t="str">
        <f aca="false">IF(N95="","",ROUND(IF(Settings!$B$27,MIN($M95,Settings!$B$29),$M95)*N95,0))</f>
        <v/>
      </c>
      <c r="Q95" s="34" t="str">
        <f aca="false">IF(N95="","",ROUND(IF(Settings!$B$27,MIN($M95,Settings!$B$30),$M95)*O95,0))</f>
        <v/>
      </c>
      <c r="R95" s="34" t="str">
        <f aca="false">IF(N95="","",P95+Q95)</f>
        <v/>
      </c>
      <c r="S95" s="34" t="str">
        <f aca="false">IF(N95="","",ROUND(MIN($M95,Settings!$B$29)*N95,0)+ROUND(MIN($M95,Settings!$B$30)*O95,0))</f>
        <v/>
      </c>
      <c r="T95" s="34" t="str">
        <f aca="false">IF(N95="","",IF(UPPER(L95)="N",0,S95))</f>
        <v/>
      </c>
      <c r="U95" s="25" t="str">
        <f aca="false">IF(N95="","",ROUND(R95*Settings!$B$18,0))</f>
        <v/>
      </c>
      <c r="V95" s="25" t="str">
        <f aca="false">IF(N95="","",ROUND(R95*Settings!$B$19,0)-X95)</f>
        <v/>
      </c>
      <c r="W95" s="25" t="str">
        <f aca="false">IF(N95="","",IF(Settings!$B$31,ROUND(R95*Settings!$B$22,0),0))</f>
        <v/>
      </c>
      <c r="X95" s="25" t="str">
        <f aca="false">IF(N95="","",MIN(ROUND(T95*Settings!$B$20,0),ROUND(R95*Settings!$B$19,0)))</f>
        <v/>
      </c>
      <c r="Y95" s="25" t="str">
        <f aca="false">IF(N95="","",IF(Settings!$B$31,ROUND(S95*Settings!$B$21,0),0))</f>
        <v/>
      </c>
      <c r="Z95" s="25" t="str">
        <f aca="false">IF(N95="","",U95+V95+X95+W95+Y95)</f>
        <v/>
      </c>
      <c r="AA95" s="7" t="str">
        <f aca="false">IF(COUNT(C95:H95)=0,"",TRIM(IF(UPPER(K95)="N","Not a PF member, skipped. ","")&amp;IF(AND(UPPER(K95)&lt;&gt;"N",N(M95)&lt;=0),"PF wage is zero, skipped. ","")&amp;IF(AND(UPPER(K95)&lt;&gt;"N",N(M95)&gt;0,UPPER(L95)="N"),"Pension not applicable, whole 12% goes to EPF. ","")&amp;IF(AND(ISNUMBER(H95),ABS(SUM(C95:G95)-N(H95))&gt;1),"Heads in the file add up to "&amp;SUM(C95:G95)&amp;", Gross is "&amp;H95&amp;" (a pay head may be missing). ","")&amp;IF(AND(Settings!$B$32,N(H95)&gt;0,ISNUMBER(M95),N(M95)&lt;H95*0.5-0.5),"50% check: PF wage is "&amp;TEXT(M95/H95,"0%")&amp;" of gross. ","")&amp;IF(AND(N(M95)&gt;0,UPPER(K95)&lt;&gt;"N",N(N95)+N(O95)=0),"No days to count. ","")))</f>
        <v/>
      </c>
    </row>
    <row r="96" customFormat="false" ht="15" hidden="false" customHeight="false" outlineLevel="0" collapsed="false">
      <c r="A96" s="14"/>
      <c r="B96" s="14"/>
      <c r="C96" s="17"/>
      <c r="D96" s="17"/>
      <c r="E96" s="17"/>
      <c r="F96" s="17"/>
      <c r="G96" s="17"/>
      <c r="H96" s="17"/>
      <c r="I96" s="14"/>
      <c r="J96" s="14"/>
      <c r="K96" s="14"/>
      <c r="L96" s="14"/>
      <c r="M96" s="34" t="str">
        <f aca="false">IF(COUNT(C96:H96)=0,"",IFERROR(MAX(0,ROUND(IF(Settings!$B$33,IF(H96="",SUM(C96:G96),H96)-SUMPRODUCT(($C$4:$G$4="Y")*C96:G96),SUMPRODUCT(($C$4:$G$4="Y")*C96:G96)),0)),"Check inputs"))</f>
        <v/>
      </c>
      <c r="N96" s="35" t="str">
        <f aca="false">IF(AND(N($M96)&gt;0,UPPER($K96)&lt;&gt;"N"),IF(Settings!$B$28,MAX(0,MIN(Settings!$B$16,IF(I96="",Settings!$B$16,I96)))/Settings!$B$15,1),"")</f>
        <v/>
      </c>
      <c r="O96" s="35" t="str">
        <f aca="false">IF(AND(N($M96)&gt;0,UPPER($K96)&lt;&gt;"N"),IF(Settings!$B$28,MAX(0,MIN(Settings!$B$17,IF(J96="",Settings!$B$17,J96)))/Settings!$B$15,0),"")</f>
        <v/>
      </c>
      <c r="P96" s="34" t="str">
        <f aca="false">IF(N96="","",ROUND(IF(Settings!$B$27,MIN($M96,Settings!$B$29),$M96)*N96,0))</f>
        <v/>
      </c>
      <c r="Q96" s="34" t="str">
        <f aca="false">IF(N96="","",ROUND(IF(Settings!$B$27,MIN($M96,Settings!$B$30),$M96)*O96,0))</f>
        <v/>
      </c>
      <c r="R96" s="34" t="str">
        <f aca="false">IF(N96="","",P96+Q96)</f>
        <v/>
      </c>
      <c r="S96" s="34" t="str">
        <f aca="false">IF(N96="","",ROUND(MIN($M96,Settings!$B$29)*N96,0)+ROUND(MIN($M96,Settings!$B$30)*O96,0))</f>
        <v/>
      </c>
      <c r="T96" s="34" t="str">
        <f aca="false">IF(N96="","",IF(UPPER(L96)="N",0,S96))</f>
        <v/>
      </c>
      <c r="U96" s="25" t="str">
        <f aca="false">IF(N96="","",ROUND(R96*Settings!$B$18,0))</f>
        <v/>
      </c>
      <c r="V96" s="25" t="str">
        <f aca="false">IF(N96="","",ROUND(R96*Settings!$B$19,0)-X96)</f>
        <v/>
      </c>
      <c r="W96" s="25" t="str">
        <f aca="false">IF(N96="","",IF(Settings!$B$31,ROUND(R96*Settings!$B$22,0),0))</f>
        <v/>
      </c>
      <c r="X96" s="25" t="str">
        <f aca="false">IF(N96="","",MIN(ROUND(T96*Settings!$B$20,0),ROUND(R96*Settings!$B$19,0)))</f>
        <v/>
      </c>
      <c r="Y96" s="25" t="str">
        <f aca="false">IF(N96="","",IF(Settings!$B$31,ROUND(S96*Settings!$B$21,0),0))</f>
        <v/>
      </c>
      <c r="Z96" s="25" t="str">
        <f aca="false">IF(N96="","",U96+V96+X96+W96+Y96)</f>
        <v/>
      </c>
      <c r="AA96" s="7" t="str">
        <f aca="false">IF(COUNT(C96:H96)=0,"",TRIM(IF(UPPER(K96)="N","Not a PF member, skipped. ","")&amp;IF(AND(UPPER(K96)&lt;&gt;"N",N(M96)&lt;=0),"PF wage is zero, skipped. ","")&amp;IF(AND(UPPER(K96)&lt;&gt;"N",N(M96)&gt;0,UPPER(L96)="N"),"Pension not applicable, whole 12% goes to EPF. ","")&amp;IF(AND(ISNUMBER(H96),ABS(SUM(C96:G96)-N(H96))&gt;1),"Heads in the file add up to "&amp;SUM(C96:G96)&amp;", Gross is "&amp;H96&amp;" (a pay head may be missing). ","")&amp;IF(AND(Settings!$B$32,N(H96)&gt;0,ISNUMBER(M96),N(M96)&lt;H96*0.5-0.5),"50% check: PF wage is "&amp;TEXT(M96/H96,"0%")&amp;" of gross. ","")&amp;IF(AND(N(M96)&gt;0,UPPER(K96)&lt;&gt;"N",N(N96)+N(O96)=0),"No days to count. ","")))</f>
        <v/>
      </c>
    </row>
    <row r="97" customFormat="false" ht="15" hidden="false" customHeight="false" outlineLevel="0" collapsed="false">
      <c r="A97" s="14"/>
      <c r="B97" s="14"/>
      <c r="C97" s="17"/>
      <c r="D97" s="17"/>
      <c r="E97" s="17"/>
      <c r="F97" s="17"/>
      <c r="G97" s="17"/>
      <c r="H97" s="17"/>
      <c r="I97" s="14"/>
      <c r="J97" s="14"/>
      <c r="K97" s="14"/>
      <c r="L97" s="14"/>
      <c r="M97" s="34" t="str">
        <f aca="false">IF(COUNT(C97:H97)=0,"",IFERROR(MAX(0,ROUND(IF(Settings!$B$33,IF(H97="",SUM(C97:G97),H97)-SUMPRODUCT(($C$4:$G$4="Y")*C97:G97),SUMPRODUCT(($C$4:$G$4="Y")*C97:G97)),0)),"Check inputs"))</f>
        <v/>
      </c>
      <c r="N97" s="35" t="str">
        <f aca="false">IF(AND(N($M97)&gt;0,UPPER($K97)&lt;&gt;"N"),IF(Settings!$B$28,MAX(0,MIN(Settings!$B$16,IF(I97="",Settings!$B$16,I97)))/Settings!$B$15,1),"")</f>
        <v/>
      </c>
      <c r="O97" s="35" t="str">
        <f aca="false">IF(AND(N($M97)&gt;0,UPPER($K97)&lt;&gt;"N"),IF(Settings!$B$28,MAX(0,MIN(Settings!$B$17,IF(J97="",Settings!$B$17,J97)))/Settings!$B$15,0),"")</f>
        <v/>
      </c>
      <c r="P97" s="34" t="str">
        <f aca="false">IF(N97="","",ROUND(IF(Settings!$B$27,MIN($M97,Settings!$B$29),$M97)*N97,0))</f>
        <v/>
      </c>
      <c r="Q97" s="34" t="str">
        <f aca="false">IF(N97="","",ROUND(IF(Settings!$B$27,MIN($M97,Settings!$B$30),$M97)*O97,0))</f>
        <v/>
      </c>
      <c r="R97" s="34" t="str">
        <f aca="false">IF(N97="","",P97+Q97)</f>
        <v/>
      </c>
      <c r="S97" s="34" t="str">
        <f aca="false">IF(N97="","",ROUND(MIN($M97,Settings!$B$29)*N97,0)+ROUND(MIN($M97,Settings!$B$30)*O97,0))</f>
        <v/>
      </c>
      <c r="T97" s="34" t="str">
        <f aca="false">IF(N97="","",IF(UPPER(L97)="N",0,S97))</f>
        <v/>
      </c>
      <c r="U97" s="25" t="str">
        <f aca="false">IF(N97="","",ROUND(R97*Settings!$B$18,0))</f>
        <v/>
      </c>
      <c r="V97" s="25" t="str">
        <f aca="false">IF(N97="","",ROUND(R97*Settings!$B$19,0)-X97)</f>
        <v/>
      </c>
      <c r="W97" s="25" t="str">
        <f aca="false">IF(N97="","",IF(Settings!$B$31,ROUND(R97*Settings!$B$22,0),0))</f>
        <v/>
      </c>
      <c r="X97" s="25" t="str">
        <f aca="false">IF(N97="","",MIN(ROUND(T97*Settings!$B$20,0),ROUND(R97*Settings!$B$19,0)))</f>
        <v/>
      </c>
      <c r="Y97" s="25" t="str">
        <f aca="false">IF(N97="","",IF(Settings!$B$31,ROUND(S97*Settings!$B$21,0),0))</f>
        <v/>
      </c>
      <c r="Z97" s="25" t="str">
        <f aca="false">IF(N97="","",U97+V97+X97+W97+Y97)</f>
        <v/>
      </c>
      <c r="AA97" s="7" t="str">
        <f aca="false">IF(COUNT(C97:H97)=0,"",TRIM(IF(UPPER(K97)="N","Not a PF member, skipped. ","")&amp;IF(AND(UPPER(K97)&lt;&gt;"N",N(M97)&lt;=0),"PF wage is zero, skipped. ","")&amp;IF(AND(UPPER(K97)&lt;&gt;"N",N(M97)&gt;0,UPPER(L97)="N"),"Pension not applicable, whole 12% goes to EPF. ","")&amp;IF(AND(ISNUMBER(H97),ABS(SUM(C97:G97)-N(H97))&gt;1),"Heads in the file add up to "&amp;SUM(C97:G97)&amp;", Gross is "&amp;H97&amp;" (a pay head may be missing). ","")&amp;IF(AND(Settings!$B$32,N(H97)&gt;0,ISNUMBER(M97),N(M97)&lt;H97*0.5-0.5),"50% check: PF wage is "&amp;TEXT(M97/H97,"0%")&amp;" of gross. ","")&amp;IF(AND(N(M97)&gt;0,UPPER(K97)&lt;&gt;"N",N(N97)+N(O97)=0),"No days to count. ","")))</f>
        <v/>
      </c>
    </row>
    <row r="98" customFormat="false" ht="15" hidden="false" customHeight="false" outlineLevel="0" collapsed="false">
      <c r="A98" s="14"/>
      <c r="B98" s="14"/>
      <c r="C98" s="17"/>
      <c r="D98" s="17"/>
      <c r="E98" s="17"/>
      <c r="F98" s="17"/>
      <c r="G98" s="17"/>
      <c r="H98" s="17"/>
      <c r="I98" s="14"/>
      <c r="J98" s="14"/>
      <c r="K98" s="14"/>
      <c r="L98" s="14"/>
      <c r="M98" s="34" t="str">
        <f aca="false">IF(COUNT(C98:H98)=0,"",IFERROR(MAX(0,ROUND(IF(Settings!$B$33,IF(H98="",SUM(C98:G98),H98)-SUMPRODUCT(($C$4:$G$4="Y")*C98:G98),SUMPRODUCT(($C$4:$G$4="Y")*C98:G98)),0)),"Check inputs"))</f>
        <v/>
      </c>
      <c r="N98" s="35" t="str">
        <f aca="false">IF(AND(N($M98)&gt;0,UPPER($K98)&lt;&gt;"N"),IF(Settings!$B$28,MAX(0,MIN(Settings!$B$16,IF(I98="",Settings!$B$16,I98)))/Settings!$B$15,1),"")</f>
        <v/>
      </c>
      <c r="O98" s="35" t="str">
        <f aca="false">IF(AND(N($M98)&gt;0,UPPER($K98)&lt;&gt;"N"),IF(Settings!$B$28,MAX(0,MIN(Settings!$B$17,IF(J98="",Settings!$B$17,J98)))/Settings!$B$15,0),"")</f>
        <v/>
      </c>
      <c r="P98" s="34" t="str">
        <f aca="false">IF(N98="","",ROUND(IF(Settings!$B$27,MIN($M98,Settings!$B$29),$M98)*N98,0))</f>
        <v/>
      </c>
      <c r="Q98" s="34" t="str">
        <f aca="false">IF(N98="","",ROUND(IF(Settings!$B$27,MIN($M98,Settings!$B$30),$M98)*O98,0))</f>
        <v/>
      </c>
      <c r="R98" s="34" t="str">
        <f aca="false">IF(N98="","",P98+Q98)</f>
        <v/>
      </c>
      <c r="S98" s="34" t="str">
        <f aca="false">IF(N98="","",ROUND(MIN($M98,Settings!$B$29)*N98,0)+ROUND(MIN($M98,Settings!$B$30)*O98,0))</f>
        <v/>
      </c>
      <c r="T98" s="34" t="str">
        <f aca="false">IF(N98="","",IF(UPPER(L98)="N",0,S98))</f>
        <v/>
      </c>
      <c r="U98" s="25" t="str">
        <f aca="false">IF(N98="","",ROUND(R98*Settings!$B$18,0))</f>
        <v/>
      </c>
      <c r="V98" s="25" t="str">
        <f aca="false">IF(N98="","",ROUND(R98*Settings!$B$19,0)-X98)</f>
        <v/>
      </c>
      <c r="W98" s="25" t="str">
        <f aca="false">IF(N98="","",IF(Settings!$B$31,ROUND(R98*Settings!$B$22,0),0))</f>
        <v/>
      </c>
      <c r="X98" s="25" t="str">
        <f aca="false">IF(N98="","",MIN(ROUND(T98*Settings!$B$20,0),ROUND(R98*Settings!$B$19,0)))</f>
        <v/>
      </c>
      <c r="Y98" s="25" t="str">
        <f aca="false">IF(N98="","",IF(Settings!$B$31,ROUND(S98*Settings!$B$21,0),0))</f>
        <v/>
      </c>
      <c r="Z98" s="25" t="str">
        <f aca="false">IF(N98="","",U98+V98+X98+W98+Y98)</f>
        <v/>
      </c>
      <c r="AA98" s="7" t="str">
        <f aca="false">IF(COUNT(C98:H98)=0,"",TRIM(IF(UPPER(K98)="N","Not a PF member, skipped. ","")&amp;IF(AND(UPPER(K98)&lt;&gt;"N",N(M98)&lt;=0),"PF wage is zero, skipped. ","")&amp;IF(AND(UPPER(K98)&lt;&gt;"N",N(M98)&gt;0,UPPER(L98)="N"),"Pension not applicable, whole 12% goes to EPF. ","")&amp;IF(AND(ISNUMBER(H98),ABS(SUM(C98:G98)-N(H98))&gt;1),"Heads in the file add up to "&amp;SUM(C98:G98)&amp;", Gross is "&amp;H98&amp;" (a pay head may be missing). ","")&amp;IF(AND(Settings!$B$32,N(H98)&gt;0,ISNUMBER(M98),N(M98)&lt;H98*0.5-0.5),"50% check: PF wage is "&amp;TEXT(M98/H98,"0%")&amp;" of gross. ","")&amp;IF(AND(N(M98)&gt;0,UPPER(K98)&lt;&gt;"N",N(N98)+N(O98)=0),"No days to count. ","")))</f>
        <v/>
      </c>
    </row>
    <row r="99" customFormat="false" ht="15" hidden="false" customHeight="false" outlineLevel="0" collapsed="false">
      <c r="A99" s="14"/>
      <c r="B99" s="14"/>
      <c r="C99" s="17"/>
      <c r="D99" s="17"/>
      <c r="E99" s="17"/>
      <c r="F99" s="17"/>
      <c r="G99" s="17"/>
      <c r="H99" s="17"/>
      <c r="I99" s="14"/>
      <c r="J99" s="14"/>
      <c r="K99" s="14"/>
      <c r="L99" s="14"/>
      <c r="M99" s="34" t="str">
        <f aca="false">IF(COUNT(C99:H99)=0,"",IFERROR(MAX(0,ROUND(IF(Settings!$B$33,IF(H99="",SUM(C99:G99),H99)-SUMPRODUCT(($C$4:$G$4="Y")*C99:G99),SUMPRODUCT(($C$4:$G$4="Y")*C99:G99)),0)),"Check inputs"))</f>
        <v/>
      </c>
      <c r="N99" s="35" t="str">
        <f aca="false">IF(AND(N($M99)&gt;0,UPPER($K99)&lt;&gt;"N"),IF(Settings!$B$28,MAX(0,MIN(Settings!$B$16,IF(I99="",Settings!$B$16,I99)))/Settings!$B$15,1),"")</f>
        <v/>
      </c>
      <c r="O99" s="35" t="str">
        <f aca="false">IF(AND(N($M99)&gt;0,UPPER($K99)&lt;&gt;"N"),IF(Settings!$B$28,MAX(0,MIN(Settings!$B$17,IF(J99="",Settings!$B$17,J99)))/Settings!$B$15,0),"")</f>
        <v/>
      </c>
      <c r="P99" s="34" t="str">
        <f aca="false">IF(N99="","",ROUND(IF(Settings!$B$27,MIN($M99,Settings!$B$29),$M99)*N99,0))</f>
        <v/>
      </c>
      <c r="Q99" s="34" t="str">
        <f aca="false">IF(N99="","",ROUND(IF(Settings!$B$27,MIN($M99,Settings!$B$30),$M99)*O99,0))</f>
        <v/>
      </c>
      <c r="R99" s="34" t="str">
        <f aca="false">IF(N99="","",P99+Q99)</f>
        <v/>
      </c>
      <c r="S99" s="34" t="str">
        <f aca="false">IF(N99="","",ROUND(MIN($M99,Settings!$B$29)*N99,0)+ROUND(MIN($M99,Settings!$B$30)*O99,0))</f>
        <v/>
      </c>
      <c r="T99" s="34" t="str">
        <f aca="false">IF(N99="","",IF(UPPER(L99)="N",0,S99))</f>
        <v/>
      </c>
      <c r="U99" s="25" t="str">
        <f aca="false">IF(N99="","",ROUND(R99*Settings!$B$18,0))</f>
        <v/>
      </c>
      <c r="V99" s="25" t="str">
        <f aca="false">IF(N99="","",ROUND(R99*Settings!$B$19,0)-X99)</f>
        <v/>
      </c>
      <c r="W99" s="25" t="str">
        <f aca="false">IF(N99="","",IF(Settings!$B$31,ROUND(R99*Settings!$B$22,0),0))</f>
        <v/>
      </c>
      <c r="X99" s="25" t="str">
        <f aca="false">IF(N99="","",MIN(ROUND(T99*Settings!$B$20,0),ROUND(R99*Settings!$B$19,0)))</f>
        <v/>
      </c>
      <c r="Y99" s="25" t="str">
        <f aca="false">IF(N99="","",IF(Settings!$B$31,ROUND(S99*Settings!$B$21,0),0))</f>
        <v/>
      </c>
      <c r="Z99" s="25" t="str">
        <f aca="false">IF(N99="","",U99+V99+X99+W99+Y99)</f>
        <v/>
      </c>
      <c r="AA99" s="7" t="str">
        <f aca="false">IF(COUNT(C99:H99)=0,"",TRIM(IF(UPPER(K99)="N","Not a PF member, skipped. ","")&amp;IF(AND(UPPER(K99)&lt;&gt;"N",N(M99)&lt;=0),"PF wage is zero, skipped. ","")&amp;IF(AND(UPPER(K99)&lt;&gt;"N",N(M99)&gt;0,UPPER(L99)="N"),"Pension not applicable, whole 12% goes to EPF. ","")&amp;IF(AND(ISNUMBER(H99),ABS(SUM(C99:G99)-N(H99))&gt;1),"Heads in the file add up to "&amp;SUM(C99:G99)&amp;", Gross is "&amp;H99&amp;" (a pay head may be missing). ","")&amp;IF(AND(Settings!$B$32,N(H99)&gt;0,ISNUMBER(M99),N(M99)&lt;H99*0.5-0.5),"50% check: PF wage is "&amp;TEXT(M99/H99,"0%")&amp;" of gross. ","")&amp;IF(AND(N(M99)&gt;0,UPPER(K99)&lt;&gt;"N",N(N99)+N(O99)=0),"No days to count. ","")))</f>
        <v/>
      </c>
    </row>
    <row r="100" customFormat="false" ht="15" hidden="false" customHeight="false" outlineLevel="0" collapsed="false">
      <c r="A100" s="14"/>
      <c r="B100" s="14"/>
      <c r="C100" s="17"/>
      <c r="D100" s="17"/>
      <c r="E100" s="17"/>
      <c r="F100" s="17"/>
      <c r="G100" s="17"/>
      <c r="H100" s="17"/>
      <c r="I100" s="14"/>
      <c r="J100" s="14"/>
      <c r="K100" s="14"/>
      <c r="L100" s="14"/>
      <c r="M100" s="34" t="str">
        <f aca="false">IF(COUNT(C100:H100)=0,"",IFERROR(MAX(0,ROUND(IF(Settings!$B$33,IF(H100="",SUM(C100:G100),H100)-SUMPRODUCT(($C$4:$G$4="Y")*C100:G100),SUMPRODUCT(($C$4:$G$4="Y")*C100:G100)),0)),"Check inputs"))</f>
        <v/>
      </c>
      <c r="N100" s="35" t="str">
        <f aca="false">IF(AND(N($M100)&gt;0,UPPER($K100)&lt;&gt;"N"),IF(Settings!$B$28,MAX(0,MIN(Settings!$B$16,IF(I100="",Settings!$B$16,I100)))/Settings!$B$15,1),"")</f>
        <v/>
      </c>
      <c r="O100" s="35" t="str">
        <f aca="false">IF(AND(N($M100)&gt;0,UPPER($K100)&lt;&gt;"N"),IF(Settings!$B$28,MAX(0,MIN(Settings!$B$17,IF(J100="",Settings!$B$17,J100)))/Settings!$B$15,0),"")</f>
        <v/>
      </c>
      <c r="P100" s="34" t="str">
        <f aca="false">IF(N100="","",ROUND(IF(Settings!$B$27,MIN($M100,Settings!$B$29),$M100)*N100,0))</f>
        <v/>
      </c>
      <c r="Q100" s="34" t="str">
        <f aca="false">IF(N100="","",ROUND(IF(Settings!$B$27,MIN($M100,Settings!$B$30),$M100)*O100,0))</f>
        <v/>
      </c>
      <c r="R100" s="34" t="str">
        <f aca="false">IF(N100="","",P100+Q100)</f>
        <v/>
      </c>
      <c r="S100" s="34" t="str">
        <f aca="false">IF(N100="","",ROUND(MIN($M100,Settings!$B$29)*N100,0)+ROUND(MIN($M100,Settings!$B$30)*O100,0))</f>
        <v/>
      </c>
      <c r="T100" s="34" t="str">
        <f aca="false">IF(N100="","",IF(UPPER(L100)="N",0,S100))</f>
        <v/>
      </c>
      <c r="U100" s="25" t="str">
        <f aca="false">IF(N100="","",ROUND(R100*Settings!$B$18,0))</f>
        <v/>
      </c>
      <c r="V100" s="25" t="str">
        <f aca="false">IF(N100="","",ROUND(R100*Settings!$B$19,0)-X100)</f>
        <v/>
      </c>
      <c r="W100" s="25" t="str">
        <f aca="false">IF(N100="","",IF(Settings!$B$31,ROUND(R100*Settings!$B$22,0),0))</f>
        <v/>
      </c>
      <c r="X100" s="25" t="str">
        <f aca="false">IF(N100="","",MIN(ROUND(T100*Settings!$B$20,0),ROUND(R100*Settings!$B$19,0)))</f>
        <v/>
      </c>
      <c r="Y100" s="25" t="str">
        <f aca="false">IF(N100="","",IF(Settings!$B$31,ROUND(S100*Settings!$B$21,0),0))</f>
        <v/>
      </c>
      <c r="Z100" s="25" t="str">
        <f aca="false">IF(N100="","",U100+V100+X100+W100+Y100)</f>
        <v/>
      </c>
      <c r="AA100" s="7" t="str">
        <f aca="false">IF(COUNT(C100:H100)=0,"",TRIM(IF(UPPER(K100)="N","Not a PF member, skipped. ","")&amp;IF(AND(UPPER(K100)&lt;&gt;"N",N(M100)&lt;=0),"PF wage is zero, skipped. ","")&amp;IF(AND(UPPER(K100)&lt;&gt;"N",N(M100)&gt;0,UPPER(L100)="N"),"Pension not applicable, whole 12% goes to EPF. ","")&amp;IF(AND(ISNUMBER(H100),ABS(SUM(C100:G100)-N(H100))&gt;1),"Heads in the file add up to "&amp;SUM(C100:G100)&amp;", Gross is "&amp;H100&amp;" (a pay head may be missing). ","")&amp;IF(AND(Settings!$B$32,N(H100)&gt;0,ISNUMBER(M100),N(M100)&lt;H100*0.5-0.5),"50% check: PF wage is "&amp;TEXT(M100/H100,"0%")&amp;" of gross. ","")&amp;IF(AND(N(M100)&gt;0,UPPER(K100)&lt;&gt;"N",N(N100)+N(O100)=0),"No days to count. ","")))</f>
        <v/>
      </c>
    </row>
    <row r="101" customFormat="false" ht="15" hidden="false" customHeight="false" outlineLevel="0" collapsed="false">
      <c r="A101" s="14"/>
      <c r="B101" s="14"/>
      <c r="C101" s="17"/>
      <c r="D101" s="17"/>
      <c r="E101" s="17"/>
      <c r="F101" s="17"/>
      <c r="G101" s="17"/>
      <c r="H101" s="17"/>
      <c r="I101" s="14"/>
      <c r="J101" s="14"/>
      <c r="K101" s="14"/>
      <c r="L101" s="14"/>
      <c r="M101" s="34" t="str">
        <f aca="false">IF(COUNT(C101:H101)=0,"",IFERROR(MAX(0,ROUND(IF(Settings!$B$33,IF(H101="",SUM(C101:G101),H101)-SUMPRODUCT(($C$4:$G$4="Y")*C101:G101),SUMPRODUCT(($C$4:$G$4="Y")*C101:G101)),0)),"Check inputs"))</f>
        <v/>
      </c>
      <c r="N101" s="35" t="str">
        <f aca="false">IF(AND(N($M101)&gt;0,UPPER($K101)&lt;&gt;"N"),IF(Settings!$B$28,MAX(0,MIN(Settings!$B$16,IF(I101="",Settings!$B$16,I101)))/Settings!$B$15,1),"")</f>
        <v/>
      </c>
      <c r="O101" s="35" t="str">
        <f aca="false">IF(AND(N($M101)&gt;0,UPPER($K101)&lt;&gt;"N"),IF(Settings!$B$28,MAX(0,MIN(Settings!$B$17,IF(J101="",Settings!$B$17,J101)))/Settings!$B$15,0),"")</f>
        <v/>
      </c>
      <c r="P101" s="34" t="str">
        <f aca="false">IF(N101="","",ROUND(IF(Settings!$B$27,MIN($M101,Settings!$B$29),$M101)*N101,0))</f>
        <v/>
      </c>
      <c r="Q101" s="34" t="str">
        <f aca="false">IF(N101="","",ROUND(IF(Settings!$B$27,MIN($M101,Settings!$B$30),$M101)*O101,0))</f>
        <v/>
      </c>
      <c r="R101" s="34" t="str">
        <f aca="false">IF(N101="","",P101+Q101)</f>
        <v/>
      </c>
      <c r="S101" s="34" t="str">
        <f aca="false">IF(N101="","",ROUND(MIN($M101,Settings!$B$29)*N101,0)+ROUND(MIN($M101,Settings!$B$30)*O101,0))</f>
        <v/>
      </c>
      <c r="T101" s="34" t="str">
        <f aca="false">IF(N101="","",IF(UPPER(L101)="N",0,S101))</f>
        <v/>
      </c>
      <c r="U101" s="25" t="str">
        <f aca="false">IF(N101="","",ROUND(R101*Settings!$B$18,0))</f>
        <v/>
      </c>
      <c r="V101" s="25" t="str">
        <f aca="false">IF(N101="","",ROUND(R101*Settings!$B$19,0)-X101)</f>
        <v/>
      </c>
      <c r="W101" s="25" t="str">
        <f aca="false">IF(N101="","",IF(Settings!$B$31,ROUND(R101*Settings!$B$22,0),0))</f>
        <v/>
      </c>
      <c r="X101" s="25" t="str">
        <f aca="false">IF(N101="","",MIN(ROUND(T101*Settings!$B$20,0),ROUND(R101*Settings!$B$19,0)))</f>
        <v/>
      </c>
      <c r="Y101" s="25" t="str">
        <f aca="false">IF(N101="","",IF(Settings!$B$31,ROUND(S101*Settings!$B$21,0),0))</f>
        <v/>
      </c>
      <c r="Z101" s="25" t="str">
        <f aca="false">IF(N101="","",U101+V101+X101+W101+Y101)</f>
        <v/>
      </c>
      <c r="AA101" s="7" t="str">
        <f aca="false">IF(COUNT(C101:H101)=0,"",TRIM(IF(UPPER(K101)="N","Not a PF member, skipped. ","")&amp;IF(AND(UPPER(K101)&lt;&gt;"N",N(M101)&lt;=0),"PF wage is zero, skipped. ","")&amp;IF(AND(UPPER(K101)&lt;&gt;"N",N(M101)&gt;0,UPPER(L101)="N"),"Pension not applicable, whole 12% goes to EPF. ","")&amp;IF(AND(ISNUMBER(H101),ABS(SUM(C101:G101)-N(H101))&gt;1),"Heads in the file add up to "&amp;SUM(C101:G101)&amp;", Gross is "&amp;H101&amp;" (a pay head may be missing). ","")&amp;IF(AND(Settings!$B$32,N(H101)&gt;0,ISNUMBER(M101),N(M101)&lt;H101*0.5-0.5),"50% check: PF wage is "&amp;TEXT(M101/H101,"0%")&amp;" of gross. ","")&amp;IF(AND(N(M101)&gt;0,UPPER(K101)&lt;&gt;"N",N(N101)+N(O101)=0),"No days to count. ","")))</f>
        <v/>
      </c>
    </row>
    <row r="102" customFormat="false" ht="15" hidden="false" customHeight="false" outlineLevel="0" collapsed="false">
      <c r="A102" s="14"/>
      <c r="B102" s="14"/>
      <c r="C102" s="17"/>
      <c r="D102" s="17"/>
      <c r="E102" s="17"/>
      <c r="F102" s="17"/>
      <c r="G102" s="17"/>
      <c r="H102" s="17"/>
      <c r="I102" s="14"/>
      <c r="J102" s="14"/>
      <c r="K102" s="14"/>
      <c r="L102" s="14"/>
      <c r="M102" s="34" t="str">
        <f aca="false">IF(COUNT(C102:H102)=0,"",IFERROR(MAX(0,ROUND(IF(Settings!$B$33,IF(H102="",SUM(C102:G102),H102)-SUMPRODUCT(($C$4:$G$4="Y")*C102:G102),SUMPRODUCT(($C$4:$G$4="Y")*C102:G102)),0)),"Check inputs"))</f>
        <v/>
      </c>
      <c r="N102" s="35" t="str">
        <f aca="false">IF(AND(N($M102)&gt;0,UPPER($K102)&lt;&gt;"N"),IF(Settings!$B$28,MAX(0,MIN(Settings!$B$16,IF(I102="",Settings!$B$16,I102)))/Settings!$B$15,1),"")</f>
        <v/>
      </c>
      <c r="O102" s="35" t="str">
        <f aca="false">IF(AND(N($M102)&gt;0,UPPER($K102)&lt;&gt;"N"),IF(Settings!$B$28,MAX(0,MIN(Settings!$B$17,IF(J102="",Settings!$B$17,J102)))/Settings!$B$15,0),"")</f>
        <v/>
      </c>
      <c r="P102" s="34" t="str">
        <f aca="false">IF(N102="","",ROUND(IF(Settings!$B$27,MIN($M102,Settings!$B$29),$M102)*N102,0))</f>
        <v/>
      </c>
      <c r="Q102" s="34" t="str">
        <f aca="false">IF(N102="","",ROUND(IF(Settings!$B$27,MIN($M102,Settings!$B$30),$M102)*O102,0))</f>
        <v/>
      </c>
      <c r="R102" s="34" t="str">
        <f aca="false">IF(N102="","",P102+Q102)</f>
        <v/>
      </c>
      <c r="S102" s="34" t="str">
        <f aca="false">IF(N102="","",ROUND(MIN($M102,Settings!$B$29)*N102,0)+ROUND(MIN($M102,Settings!$B$30)*O102,0))</f>
        <v/>
      </c>
      <c r="T102" s="34" t="str">
        <f aca="false">IF(N102="","",IF(UPPER(L102)="N",0,S102))</f>
        <v/>
      </c>
      <c r="U102" s="25" t="str">
        <f aca="false">IF(N102="","",ROUND(R102*Settings!$B$18,0))</f>
        <v/>
      </c>
      <c r="V102" s="25" t="str">
        <f aca="false">IF(N102="","",ROUND(R102*Settings!$B$19,0)-X102)</f>
        <v/>
      </c>
      <c r="W102" s="25" t="str">
        <f aca="false">IF(N102="","",IF(Settings!$B$31,ROUND(R102*Settings!$B$22,0),0))</f>
        <v/>
      </c>
      <c r="X102" s="25" t="str">
        <f aca="false">IF(N102="","",MIN(ROUND(T102*Settings!$B$20,0),ROUND(R102*Settings!$B$19,0)))</f>
        <v/>
      </c>
      <c r="Y102" s="25" t="str">
        <f aca="false">IF(N102="","",IF(Settings!$B$31,ROUND(S102*Settings!$B$21,0),0))</f>
        <v/>
      </c>
      <c r="Z102" s="25" t="str">
        <f aca="false">IF(N102="","",U102+V102+X102+W102+Y102)</f>
        <v/>
      </c>
      <c r="AA102" s="7" t="str">
        <f aca="false">IF(COUNT(C102:H102)=0,"",TRIM(IF(UPPER(K102)="N","Not a PF member, skipped. ","")&amp;IF(AND(UPPER(K102)&lt;&gt;"N",N(M102)&lt;=0),"PF wage is zero, skipped. ","")&amp;IF(AND(UPPER(K102)&lt;&gt;"N",N(M102)&gt;0,UPPER(L102)="N"),"Pension not applicable, whole 12% goes to EPF. ","")&amp;IF(AND(ISNUMBER(H102),ABS(SUM(C102:G102)-N(H102))&gt;1),"Heads in the file add up to "&amp;SUM(C102:G102)&amp;", Gross is "&amp;H102&amp;" (a pay head may be missing). ","")&amp;IF(AND(Settings!$B$32,N(H102)&gt;0,ISNUMBER(M102),N(M102)&lt;H102*0.5-0.5),"50% check: PF wage is "&amp;TEXT(M102/H102,"0%")&amp;" of gross. ","")&amp;IF(AND(N(M102)&gt;0,UPPER(K102)&lt;&gt;"N",N(N102)+N(O102)=0),"No days to count. ","")))</f>
        <v/>
      </c>
    </row>
    <row r="103" customFormat="false" ht="15" hidden="false" customHeight="false" outlineLevel="0" collapsed="false">
      <c r="A103" s="14"/>
      <c r="B103" s="14"/>
      <c r="C103" s="17"/>
      <c r="D103" s="17"/>
      <c r="E103" s="17"/>
      <c r="F103" s="17"/>
      <c r="G103" s="17"/>
      <c r="H103" s="17"/>
      <c r="I103" s="14"/>
      <c r="J103" s="14"/>
      <c r="K103" s="14"/>
      <c r="L103" s="14"/>
      <c r="M103" s="34" t="str">
        <f aca="false">IF(COUNT(C103:H103)=0,"",IFERROR(MAX(0,ROUND(IF(Settings!$B$33,IF(H103="",SUM(C103:G103),H103)-SUMPRODUCT(($C$4:$G$4="Y")*C103:G103),SUMPRODUCT(($C$4:$G$4="Y")*C103:G103)),0)),"Check inputs"))</f>
        <v/>
      </c>
      <c r="N103" s="35" t="str">
        <f aca="false">IF(AND(N($M103)&gt;0,UPPER($K103)&lt;&gt;"N"),IF(Settings!$B$28,MAX(0,MIN(Settings!$B$16,IF(I103="",Settings!$B$16,I103)))/Settings!$B$15,1),"")</f>
        <v/>
      </c>
      <c r="O103" s="35" t="str">
        <f aca="false">IF(AND(N($M103)&gt;0,UPPER($K103)&lt;&gt;"N"),IF(Settings!$B$28,MAX(0,MIN(Settings!$B$17,IF(J103="",Settings!$B$17,J103)))/Settings!$B$15,0),"")</f>
        <v/>
      </c>
      <c r="P103" s="34" t="str">
        <f aca="false">IF(N103="","",ROUND(IF(Settings!$B$27,MIN($M103,Settings!$B$29),$M103)*N103,0))</f>
        <v/>
      </c>
      <c r="Q103" s="34" t="str">
        <f aca="false">IF(N103="","",ROUND(IF(Settings!$B$27,MIN($M103,Settings!$B$30),$M103)*O103,0))</f>
        <v/>
      </c>
      <c r="R103" s="34" t="str">
        <f aca="false">IF(N103="","",P103+Q103)</f>
        <v/>
      </c>
      <c r="S103" s="34" t="str">
        <f aca="false">IF(N103="","",ROUND(MIN($M103,Settings!$B$29)*N103,0)+ROUND(MIN($M103,Settings!$B$30)*O103,0))</f>
        <v/>
      </c>
      <c r="T103" s="34" t="str">
        <f aca="false">IF(N103="","",IF(UPPER(L103)="N",0,S103))</f>
        <v/>
      </c>
      <c r="U103" s="25" t="str">
        <f aca="false">IF(N103="","",ROUND(R103*Settings!$B$18,0))</f>
        <v/>
      </c>
      <c r="V103" s="25" t="str">
        <f aca="false">IF(N103="","",ROUND(R103*Settings!$B$19,0)-X103)</f>
        <v/>
      </c>
      <c r="W103" s="25" t="str">
        <f aca="false">IF(N103="","",IF(Settings!$B$31,ROUND(R103*Settings!$B$22,0),0))</f>
        <v/>
      </c>
      <c r="X103" s="25" t="str">
        <f aca="false">IF(N103="","",MIN(ROUND(T103*Settings!$B$20,0),ROUND(R103*Settings!$B$19,0)))</f>
        <v/>
      </c>
      <c r="Y103" s="25" t="str">
        <f aca="false">IF(N103="","",IF(Settings!$B$31,ROUND(S103*Settings!$B$21,0),0))</f>
        <v/>
      </c>
      <c r="Z103" s="25" t="str">
        <f aca="false">IF(N103="","",U103+V103+X103+W103+Y103)</f>
        <v/>
      </c>
      <c r="AA103" s="7" t="str">
        <f aca="false">IF(COUNT(C103:H103)=0,"",TRIM(IF(UPPER(K103)="N","Not a PF member, skipped. ","")&amp;IF(AND(UPPER(K103)&lt;&gt;"N",N(M103)&lt;=0),"PF wage is zero, skipped. ","")&amp;IF(AND(UPPER(K103)&lt;&gt;"N",N(M103)&gt;0,UPPER(L103)="N"),"Pension not applicable, whole 12% goes to EPF. ","")&amp;IF(AND(ISNUMBER(H103),ABS(SUM(C103:G103)-N(H103))&gt;1),"Heads in the file add up to "&amp;SUM(C103:G103)&amp;", Gross is "&amp;H103&amp;" (a pay head may be missing). ","")&amp;IF(AND(Settings!$B$32,N(H103)&gt;0,ISNUMBER(M103),N(M103)&lt;H103*0.5-0.5),"50% check: PF wage is "&amp;TEXT(M103/H103,"0%")&amp;" of gross. ","")&amp;IF(AND(N(M103)&gt;0,UPPER(K103)&lt;&gt;"N",N(N103)+N(O103)=0),"No days to count. ","")))</f>
        <v/>
      </c>
    </row>
    <row r="104" customFormat="false" ht="15" hidden="false" customHeight="false" outlineLevel="0" collapsed="false">
      <c r="A104" s="14"/>
      <c r="B104" s="14"/>
      <c r="C104" s="17"/>
      <c r="D104" s="17"/>
      <c r="E104" s="17"/>
      <c r="F104" s="17"/>
      <c r="G104" s="17"/>
      <c r="H104" s="17"/>
      <c r="I104" s="14"/>
      <c r="J104" s="14"/>
      <c r="K104" s="14"/>
      <c r="L104" s="14"/>
      <c r="M104" s="34" t="str">
        <f aca="false">IF(COUNT(C104:H104)=0,"",IFERROR(MAX(0,ROUND(IF(Settings!$B$33,IF(H104="",SUM(C104:G104),H104)-SUMPRODUCT(($C$4:$G$4="Y")*C104:G104),SUMPRODUCT(($C$4:$G$4="Y")*C104:G104)),0)),"Check inputs"))</f>
        <v/>
      </c>
      <c r="N104" s="35" t="str">
        <f aca="false">IF(AND(N($M104)&gt;0,UPPER($K104)&lt;&gt;"N"),IF(Settings!$B$28,MAX(0,MIN(Settings!$B$16,IF(I104="",Settings!$B$16,I104)))/Settings!$B$15,1),"")</f>
        <v/>
      </c>
      <c r="O104" s="35" t="str">
        <f aca="false">IF(AND(N($M104)&gt;0,UPPER($K104)&lt;&gt;"N"),IF(Settings!$B$28,MAX(0,MIN(Settings!$B$17,IF(J104="",Settings!$B$17,J104)))/Settings!$B$15,0),"")</f>
        <v/>
      </c>
      <c r="P104" s="34" t="str">
        <f aca="false">IF(N104="","",ROUND(IF(Settings!$B$27,MIN($M104,Settings!$B$29),$M104)*N104,0))</f>
        <v/>
      </c>
      <c r="Q104" s="34" t="str">
        <f aca="false">IF(N104="","",ROUND(IF(Settings!$B$27,MIN($M104,Settings!$B$30),$M104)*O104,0))</f>
        <v/>
      </c>
      <c r="R104" s="34" t="str">
        <f aca="false">IF(N104="","",P104+Q104)</f>
        <v/>
      </c>
      <c r="S104" s="34" t="str">
        <f aca="false">IF(N104="","",ROUND(MIN($M104,Settings!$B$29)*N104,0)+ROUND(MIN($M104,Settings!$B$30)*O104,0))</f>
        <v/>
      </c>
      <c r="T104" s="34" t="str">
        <f aca="false">IF(N104="","",IF(UPPER(L104)="N",0,S104))</f>
        <v/>
      </c>
      <c r="U104" s="25" t="str">
        <f aca="false">IF(N104="","",ROUND(R104*Settings!$B$18,0))</f>
        <v/>
      </c>
      <c r="V104" s="25" t="str">
        <f aca="false">IF(N104="","",ROUND(R104*Settings!$B$19,0)-X104)</f>
        <v/>
      </c>
      <c r="W104" s="25" t="str">
        <f aca="false">IF(N104="","",IF(Settings!$B$31,ROUND(R104*Settings!$B$22,0),0))</f>
        <v/>
      </c>
      <c r="X104" s="25" t="str">
        <f aca="false">IF(N104="","",MIN(ROUND(T104*Settings!$B$20,0),ROUND(R104*Settings!$B$19,0)))</f>
        <v/>
      </c>
      <c r="Y104" s="25" t="str">
        <f aca="false">IF(N104="","",IF(Settings!$B$31,ROUND(S104*Settings!$B$21,0),0))</f>
        <v/>
      </c>
      <c r="Z104" s="25" t="str">
        <f aca="false">IF(N104="","",U104+V104+X104+W104+Y104)</f>
        <v/>
      </c>
      <c r="AA104" s="7" t="str">
        <f aca="false">IF(COUNT(C104:H104)=0,"",TRIM(IF(UPPER(K104)="N","Not a PF member, skipped. ","")&amp;IF(AND(UPPER(K104)&lt;&gt;"N",N(M104)&lt;=0),"PF wage is zero, skipped. ","")&amp;IF(AND(UPPER(K104)&lt;&gt;"N",N(M104)&gt;0,UPPER(L104)="N"),"Pension not applicable, whole 12% goes to EPF. ","")&amp;IF(AND(ISNUMBER(H104),ABS(SUM(C104:G104)-N(H104))&gt;1),"Heads in the file add up to "&amp;SUM(C104:G104)&amp;", Gross is "&amp;H104&amp;" (a pay head may be missing). ","")&amp;IF(AND(Settings!$B$32,N(H104)&gt;0,ISNUMBER(M104),N(M104)&lt;H104*0.5-0.5),"50% check: PF wage is "&amp;TEXT(M104/H104,"0%")&amp;" of gross. ","")&amp;IF(AND(N(M104)&gt;0,UPPER(K104)&lt;&gt;"N",N(N104)+N(O104)=0),"No days to count. ","")))</f>
        <v/>
      </c>
    </row>
    <row r="105" customFormat="false" ht="15" hidden="false" customHeight="false" outlineLevel="0" collapsed="false">
      <c r="A105" s="14"/>
      <c r="B105" s="14"/>
      <c r="C105" s="17"/>
      <c r="D105" s="17"/>
      <c r="E105" s="17"/>
      <c r="F105" s="17"/>
      <c r="G105" s="17"/>
      <c r="H105" s="17"/>
      <c r="I105" s="14"/>
      <c r="J105" s="14"/>
      <c r="K105" s="14"/>
      <c r="L105" s="14"/>
      <c r="M105" s="34" t="str">
        <f aca="false">IF(COUNT(C105:H105)=0,"",IFERROR(MAX(0,ROUND(IF(Settings!$B$33,IF(H105="",SUM(C105:G105),H105)-SUMPRODUCT(($C$4:$G$4="Y")*C105:G105),SUMPRODUCT(($C$4:$G$4="Y")*C105:G105)),0)),"Check inputs"))</f>
        <v/>
      </c>
      <c r="N105" s="35" t="str">
        <f aca="false">IF(AND(N($M105)&gt;0,UPPER($K105)&lt;&gt;"N"),IF(Settings!$B$28,MAX(0,MIN(Settings!$B$16,IF(I105="",Settings!$B$16,I105)))/Settings!$B$15,1),"")</f>
        <v/>
      </c>
      <c r="O105" s="35" t="str">
        <f aca="false">IF(AND(N($M105)&gt;0,UPPER($K105)&lt;&gt;"N"),IF(Settings!$B$28,MAX(0,MIN(Settings!$B$17,IF(J105="",Settings!$B$17,J105)))/Settings!$B$15,0),"")</f>
        <v/>
      </c>
      <c r="P105" s="34" t="str">
        <f aca="false">IF(N105="","",ROUND(IF(Settings!$B$27,MIN($M105,Settings!$B$29),$M105)*N105,0))</f>
        <v/>
      </c>
      <c r="Q105" s="34" t="str">
        <f aca="false">IF(N105="","",ROUND(IF(Settings!$B$27,MIN($M105,Settings!$B$30),$M105)*O105,0))</f>
        <v/>
      </c>
      <c r="R105" s="34" t="str">
        <f aca="false">IF(N105="","",P105+Q105)</f>
        <v/>
      </c>
      <c r="S105" s="34" t="str">
        <f aca="false">IF(N105="","",ROUND(MIN($M105,Settings!$B$29)*N105,0)+ROUND(MIN($M105,Settings!$B$30)*O105,0))</f>
        <v/>
      </c>
      <c r="T105" s="34" t="str">
        <f aca="false">IF(N105="","",IF(UPPER(L105)="N",0,S105))</f>
        <v/>
      </c>
      <c r="U105" s="25" t="str">
        <f aca="false">IF(N105="","",ROUND(R105*Settings!$B$18,0))</f>
        <v/>
      </c>
      <c r="V105" s="25" t="str">
        <f aca="false">IF(N105="","",ROUND(R105*Settings!$B$19,0)-X105)</f>
        <v/>
      </c>
      <c r="W105" s="25" t="str">
        <f aca="false">IF(N105="","",IF(Settings!$B$31,ROUND(R105*Settings!$B$22,0),0))</f>
        <v/>
      </c>
      <c r="X105" s="25" t="str">
        <f aca="false">IF(N105="","",MIN(ROUND(T105*Settings!$B$20,0),ROUND(R105*Settings!$B$19,0)))</f>
        <v/>
      </c>
      <c r="Y105" s="25" t="str">
        <f aca="false">IF(N105="","",IF(Settings!$B$31,ROUND(S105*Settings!$B$21,0),0))</f>
        <v/>
      </c>
      <c r="Z105" s="25" t="str">
        <f aca="false">IF(N105="","",U105+V105+X105+W105+Y105)</f>
        <v/>
      </c>
      <c r="AA105" s="7" t="str">
        <f aca="false">IF(COUNT(C105:H105)=0,"",TRIM(IF(UPPER(K105)="N","Not a PF member, skipped. ","")&amp;IF(AND(UPPER(K105)&lt;&gt;"N",N(M105)&lt;=0),"PF wage is zero, skipped. ","")&amp;IF(AND(UPPER(K105)&lt;&gt;"N",N(M105)&gt;0,UPPER(L105)="N"),"Pension not applicable, whole 12% goes to EPF. ","")&amp;IF(AND(ISNUMBER(H105),ABS(SUM(C105:G105)-N(H105))&gt;1),"Heads in the file add up to "&amp;SUM(C105:G105)&amp;", Gross is "&amp;H105&amp;" (a pay head may be missing). ","")&amp;IF(AND(Settings!$B$32,N(H105)&gt;0,ISNUMBER(M105),N(M105)&lt;H105*0.5-0.5),"50% check: PF wage is "&amp;TEXT(M105/H105,"0%")&amp;" of gross. ","")&amp;IF(AND(N(M105)&gt;0,UPPER(K105)&lt;&gt;"N",N(N105)+N(O105)=0),"No days to count. ","")))</f>
        <v/>
      </c>
    </row>
    <row r="106" customFormat="false" ht="15" hidden="false" customHeight="false" outlineLevel="0" collapsed="false">
      <c r="A106" s="14"/>
      <c r="B106" s="14"/>
      <c r="C106" s="17"/>
      <c r="D106" s="17"/>
      <c r="E106" s="17"/>
      <c r="F106" s="17"/>
      <c r="G106" s="17"/>
      <c r="H106" s="17"/>
      <c r="I106" s="14"/>
      <c r="J106" s="14"/>
      <c r="K106" s="14"/>
      <c r="L106" s="14"/>
      <c r="M106" s="34" t="str">
        <f aca="false">IF(COUNT(C106:H106)=0,"",IFERROR(MAX(0,ROUND(IF(Settings!$B$33,IF(H106="",SUM(C106:G106),H106)-SUMPRODUCT(($C$4:$G$4="Y")*C106:G106),SUMPRODUCT(($C$4:$G$4="Y")*C106:G106)),0)),"Check inputs"))</f>
        <v/>
      </c>
      <c r="N106" s="35" t="str">
        <f aca="false">IF(AND(N($M106)&gt;0,UPPER($K106)&lt;&gt;"N"),IF(Settings!$B$28,MAX(0,MIN(Settings!$B$16,IF(I106="",Settings!$B$16,I106)))/Settings!$B$15,1),"")</f>
        <v/>
      </c>
      <c r="O106" s="35" t="str">
        <f aca="false">IF(AND(N($M106)&gt;0,UPPER($K106)&lt;&gt;"N"),IF(Settings!$B$28,MAX(0,MIN(Settings!$B$17,IF(J106="",Settings!$B$17,J106)))/Settings!$B$15,0),"")</f>
        <v/>
      </c>
      <c r="P106" s="34" t="str">
        <f aca="false">IF(N106="","",ROUND(IF(Settings!$B$27,MIN($M106,Settings!$B$29),$M106)*N106,0))</f>
        <v/>
      </c>
      <c r="Q106" s="34" t="str">
        <f aca="false">IF(N106="","",ROUND(IF(Settings!$B$27,MIN($M106,Settings!$B$30),$M106)*O106,0))</f>
        <v/>
      </c>
      <c r="R106" s="34" t="str">
        <f aca="false">IF(N106="","",P106+Q106)</f>
        <v/>
      </c>
      <c r="S106" s="34" t="str">
        <f aca="false">IF(N106="","",ROUND(MIN($M106,Settings!$B$29)*N106,0)+ROUND(MIN($M106,Settings!$B$30)*O106,0))</f>
        <v/>
      </c>
      <c r="T106" s="34" t="str">
        <f aca="false">IF(N106="","",IF(UPPER(L106)="N",0,S106))</f>
        <v/>
      </c>
      <c r="U106" s="25" t="str">
        <f aca="false">IF(N106="","",ROUND(R106*Settings!$B$18,0))</f>
        <v/>
      </c>
      <c r="V106" s="25" t="str">
        <f aca="false">IF(N106="","",ROUND(R106*Settings!$B$19,0)-X106)</f>
        <v/>
      </c>
      <c r="W106" s="25" t="str">
        <f aca="false">IF(N106="","",IF(Settings!$B$31,ROUND(R106*Settings!$B$22,0),0))</f>
        <v/>
      </c>
      <c r="X106" s="25" t="str">
        <f aca="false">IF(N106="","",MIN(ROUND(T106*Settings!$B$20,0),ROUND(R106*Settings!$B$19,0)))</f>
        <v/>
      </c>
      <c r="Y106" s="25" t="str">
        <f aca="false">IF(N106="","",IF(Settings!$B$31,ROUND(S106*Settings!$B$21,0),0))</f>
        <v/>
      </c>
      <c r="Z106" s="25" t="str">
        <f aca="false">IF(N106="","",U106+V106+X106+W106+Y106)</f>
        <v/>
      </c>
      <c r="AA106" s="7" t="str">
        <f aca="false">IF(COUNT(C106:H106)=0,"",TRIM(IF(UPPER(K106)="N","Not a PF member, skipped. ","")&amp;IF(AND(UPPER(K106)&lt;&gt;"N",N(M106)&lt;=0),"PF wage is zero, skipped. ","")&amp;IF(AND(UPPER(K106)&lt;&gt;"N",N(M106)&gt;0,UPPER(L106)="N"),"Pension not applicable, whole 12% goes to EPF. ","")&amp;IF(AND(ISNUMBER(H106),ABS(SUM(C106:G106)-N(H106))&gt;1),"Heads in the file add up to "&amp;SUM(C106:G106)&amp;", Gross is "&amp;H106&amp;" (a pay head may be missing). ","")&amp;IF(AND(Settings!$B$32,N(H106)&gt;0,ISNUMBER(M106),N(M106)&lt;H106*0.5-0.5),"50% check: PF wage is "&amp;TEXT(M106/H106,"0%")&amp;" of gross. ","")&amp;IF(AND(N(M106)&gt;0,UPPER(K106)&lt;&gt;"N",N(N106)+N(O106)=0),"No days to count. ","")))</f>
        <v/>
      </c>
    </row>
    <row r="107" customFormat="false" ht="15" hidden="false" customHeight="false" outlineLevel="0" collapsed="false">
      <c r="A107" s="14"/>
      <c r="B107" s="14"/>
      <c r="C107" s="17"/>
      <c r="D107" s="17"/>
      <c r="E107" s="17"/>
      <c r="F107" s="17"/>
      <c r="G107" s="17"/>
      <c r="H107" s="17"/>
      <c r="I107" s="14"/>
      <c r="J107" s="14"/>
      <c r="K107" s="14"/>
      <c r="L107" s="14"/>
      <c r="M107" s="34" t="str">
        <f aca="false">IF(COUNT(C107:H107)=0,"",IFERROR(MAX(0,ROUND(IF(Settings!$B$33,IF(H107="",SUM(C107:G107),H107)-SUMPRODUCT(($C$4:$G$4="Y")*C107:G107),SUMPRODUCT(($C$4:$G$4="Y")*C107:G107)),0)),"Check inputs"))</f>
        <v/>
      </c>
      <c r="N107" s="35" t="str">
        <f aca="false">IF(AND(N($M107)&gt;0,UPPER($K107)&lt;&gt;"N"),IF(Settings!$B$28,MAX(0,MIN(Settings!$B$16,IF(I107="",Settings!$B$16,I107)))/Settings!$B$15,1),"")</f>
        <v/>
      </c>
      <c r="O107" s="35" t="str">
        <f aca="false">IF(AND(N($M107)&gt;0,UPPER($K107)&lt;&gt;"N"),IF(Settings!$B$28,MAX(0,MIN(Settings!$B$17,IF(J107="",Settings!$B$17,J107)))/Settings!$B$15,0),"")</f>
        <v/>
      </c>
      <c r="P107" s="34" t="str">
        <f aca="false">IF(N107="","",ROUND(IF(Settings!$B$27,MIN($M107,Settings!$B$29),$M107)*N107,0))</f>
        <v/>
      </c>
      <c r="Q107" s="34" t="str">
        <f aca="false">IF(N107="","",ROUND(IF(Settings!$B$27,MIN($M107,Settings!$B$30),$M107)*O107,0))</f>
        <v/>
      </c>
      <c r="R107" s="34" t="str">
        <f aca="false">IF(N107="","",P107+Q107)</f>
        <v/>
      </c>
      <c r="S107" s="34" t="str">
        <f aca="false">IF(N107="","",ROUND(MIN($M107,Settings!$B$29)*N107,0)+ROUND(MIN($M107,Settings!$B$30)*O107,0))</f>
        <v/>
      </c>
      <c r="T107" s="34" t="str">
        <f aca="false">IF(N107="","",IF(UPPER(L107)="N",0,S107))</f>
        <v/>
      </c>
      <c r="U107" s="25" t="str">
        <f aca="false">IF(N107="","",ROUND(R107*Settings!$B$18,0))</f>
        <v/>
      </c>
      <c r="V107" s="25" t="str">
        <f aca="false">IF(N107="","",ROUND(R107*Settings!$B$19,0)-X107)</f>
        <v/>
      </c>
      <c r="W107" s="25" t="str">
        <f aca="false">IF(N107="","",IF(Settings!$B$31,ROUND(R107*Settings!$B$22,0),0))</f>
        <v/>
      </c>
      <c r="X107" s="25" t="str">
        <f aca="false">IF(N107="","",MIN(ROUND(T107*Settings!$B$20,0),ROUND(R107*Settings!$B$19,0)))</f>
        <v/>
      </c>
      <c r="Y107" s="25" t="str">
        <f aca="false">IF(N107="","",IF(Settings!$B$31,ROUND(S107*Settings!$B$21,0),0))</f>
        <v/>
      </c>
      <c r="Z107" s="25" t="str">
        <f aca="false">IF(N107="","",U107+V107+X107+W107+Y107)</f>
        <v/>
      </c>
      <c r="AA107" s="7" t="str">
        <f aca="false">IF(COUNT(C107:H107)=0,"",TRIM(IF(UPPER(K107)="N","Not a PF member, skipped. ","")&amp;IF(AND(UPPER(K107)&lt;&gt;"N",N(M107)&lt;=0),"PF wage is zero, skipped. ","")&amp;IF(AND(UPPER(K107)&lt;&gt;"N",N(M107)&gt;0,UPPER(L107)="N"),"Pension not applicable, whole 12% goes to EPF. ","")&amp;IF(AND(ISNUMBER(H107),ABS(SUM(C107:G107)-N(H107))&gt;1),"Heads in the file add up to "&amp;SUM(C107:G107)&amp;", Gross is "&amp;H107&amp;" (a pay head may be missing). ","")&amp;IF(AND(Settings!$B$32,N(H107)&gt;0,ISNUMBER(M107),N(M107)&lt;H107*0.5-0.5),"50% check: PF wage is "&amp;TEXT(M107/H107,"0%")&amp;" of gross. ","")&amp;IF(AND(N(M107)&gt;0,UPPER(K107)&lt;&gt;"N",N(N107)+N(O107)=0),"No days to count. ","")))</f>
        <v/>
      </c>
    </row>
    <row r="108" customFormat="false" ht="15" hidden="false" customHeight="false" outlineLevel="0" collapsed="false">
      <c r="A108" s="14"/>
      <c r="B108" s="14"/>
      <c r="C108" s="17"/>
      <c r="D108" s="17"/>
      <c r="E108" s="17"/>
      <c r="F108" s="17"/>
      <c r="G108" s="17"/>
      <c r="H108" s="17"/>
      <c r="I108" s="14"/>
      <c r="J108" s="14"/>
      <c r="K108" s="14"/>
      <c r="L108" s="14"/>
      <c r="M108" s="34" t="str">
        <f aca="false">IF(COUNT(C108:H108)=0,"",IFERROR(MAX(0,ROUND(IF(Settings!$B$33,IF(H108="",SUM(C108:G108),H108)-SUMPRODUCT(($C$4:$G$4="Y")*C108:G108),SUMPRODUCT(($C$4:$G$4="Y")*C108:G108)),0)),"Check inputs"))</f>
        <v/>
      </c>
      <c r="N108" s="35" t="str">
        <f aca="false">IF(AND(N($M108)&gt;0,UPPER($K108)&lt;&gt;"N"),IF(Settings!$B$28,MAX(0,MIN(Settings!$B$16,IF(I108="",Settings!$B$16,I108)))/Settings!$B$15,1),"")</f>
        <v/>
      </c>
      <c r="O108" s="35" t="str">
        <f aca="false">IF(AND(N($M108)&gt;0,UPPER($K108)&lt;&gt;"N"),IF(Settings!$B$28,MAX(0,MIN(Settings!$B$17,IF(J108="",Settings!$B$17,J108)))/Settings!$B$15,0),"")</f>
        <v/>
      </c>
      <c r="P108" s="34" t="str">
        <f aca="false">IF(N108="","",ROUND(IF(Settings!$B$27,MIN($M108,Settings!$B$29),$M108)*N108,0))</f>
        <v/>
      </c>
      <c r="Q108" s="34" t="str">
        <f aca="false">IF(N108="","",ROUND(IF(Settings!$B$27,MIN($M108,Settings!$B$30),$M108)*O108,0))</f>
        <v/>
      </c>
      <c r="R108" s="34" t="str">
        <f aca="false">IF(N108="","",P108+Q108)</f>
        <v/>
      </c>
      <c r="S108" s="34" t="str">
        <f aca="false">IF(N108="","",ROUND(MIN($M108,Settings!$B$29)*N108,0)+ROUND(MIN($M108,Settings!$B$30)*O108,0))</f>
        <v/>
      </c>
      <c r="T108" s="34" t="str">
        <f aca="false">IF(N108="","",IF(UPPER(L108)="N",0,S108))</f>
        <v/>
      </c>
      <c r="U108" s="25" t="str">
        <f aca="false">IF(N108="","",ROUND(R108*Settings!$B$18,0))</f>
        <v/>
      </c>
      <c r="V108" s="25" t="str">
        <f aca="false">IF(N108="","",ROUND(R108*Settings!$B$19,0)-X108)</f>
        <v/>
      </c>
      <c r="W108" s="25" t="str">
        <f aca="false">IF(N108="","",IF(Settings!$B$31,ROUND(R108*Settings!$B$22,0),0))</f>
        <v/>
      </c>
      <c r="X108" s="25" t="str">
        <f aca="false">IF(N108="","",MIN(ROUND(T108*Settings!$B$20,0),ROUND(R108*Settings!$B$19,0)))</f>
        <v/>
      </c>
      <c r="Y108" s="25" t="str">
        <f aca="false">IF(N108="","",IF(Settings!$B$31,ROUND(S108*Settings!$B$21,0),0))</f>
        <v/>
      </c>
      <c r="Z108" s="25" t="str">
        <f aca="false">IF(N108="","",U108+V108+X108+W108+Y108)</f>
        <v/>
      </c>
      <c r="AA108" s="7" t="str">
        <f aca="false">IF(COUNT(C108:H108)=0,"",TRIM(IF(UPPER(K108)="N","Not a PF member, skipped. ","")&amp;IF(AND(UPPER(K108)&lt;&gt;"N",N(M108)&lt;=0),"PF wage is zero, skipped. ","")&amp;IF(AND(UPPER(K108)&lt;&gt;"N",N(M108)&gt;0,UPPER(L108)="N"),"Pension not applicable, whole 12% goes to EPF. ","")&amp;IF(AND(ISNUMBER(H108),ABS(SUM(C108:G108)-N(H108))&gt;1),"Heads in the file add up to "&amp;SUM(C108:G108)&amp;", Gross is "&amp;H108&amp;" (a pay head may be missing). ","")&amp;IF(AND(Settings!$B$32,N(H108)&gt;0,ISNUMBER(M108),N(M108)&lt;H108*0.5-0.5),"50% check: PF wage is "&amp;TEXT(M108/H108,"0%")&amp;" of gross. ","")&amp;IF(AND(N(M108)&gt;0,UPPER(K108)&lt;&gt;"N",N(N108)+N(O108)=0),"No days to count. ","")))</f>
        <v/>
      </c>
    </row>
    <row r="109" customFormat="false" ht="15" hidden="false" customHeight="false" outlineLevel="0" collapsed="false">
      <c r="A109" s="14"/>
      <c r="B109" s="14"/>
      <c r="C109" s="17"/>
      <c r="D109" s="17"/>
      <c r="E109" s="17"/>
      <c r="F109" s="17"/>
      <c r="G109" s="17"/>
      <c r="H109" s="17"/>
      <c r="I109" s="14"/>
      <c r="J109" s="14"/>
      <c r="K109" s="14"/>
      <c r="L109" s="14"/>
      <c r="M109" s="34" t="str">
        <f aca="false">IF(COUNT(C109:H109)=0,"",IFERROR(MAX(0,ROUND(IF(Settings!$B$33,IF(H109="",SUM(C109:G109),H109)-SUMPRODUCT(($C$4:$G$4="Y")*C109:G109),SUMPRODUCT(($C$4:$G$4="Y")*C109:G109)),0)),"Check inputs"))</f>
        <v/>
      </c>
      <c r="N109" s="35" t="str">
        <f aca="false">IF(AND(N($M109)&gt;0,UPPER($K109)&lt;&gt;"N"),IF(Settings!$B$28,MAX(0,MIN(Settings!$B$16,IF(I109="",Settings!$B$16,I109)))/Settings!$B$15,1),"")</f>
        <v/>
      </c>
      <c r="O109" s="35" t="str">
        <f aca="false">IF(AND(N($M109)&gt;0,UPPER($K109)&lt;&gt;"N"),IF(Settings!$B$28,MAX(0,MIN(Settings!$B$17,IF(J109="",Settings!$B$17,J109)))/Settings!$B$15,0),"")</f>
        <v/>
      </c>
      <c r="P109" s="34" t="str">
        <f aca="false">IF(N109="","",ROUND(IF(Settings!$B$27,MIN($M109,Settings!$B$29),$M109)*N109,0))</f>
        <v/>
      </c>
      <c r="Q109" s="34" t="str">
        <f aca="false">IF(N109="","",ROUND(IF(Settings!$B$27,MIN($M109,Settings!$B$30),$M109)*O109,0))</f>
        <v/>
      </c>
      <c r="R109" s="34" t="str">
        <f aca="false">IF(N109="","",P109+Q109)</f>
        <v/>
      </c>
      <c r="S109" s="34" t="str">
        <f aca="false">IF(N109="","",ROUND(MIN($M109,Settings!$B$29)*N109,0)+ROUND(MIN($M109,Settings!$B$30)*O109,0))</f>
        <v/>
      </c>
      <c r="T109" s="34" t="str">
        <f aca="false">IF(N109="","",IF(UPPER(L109)="N",0,S109))</f>
        <v/>
      </c>
      <c r="U109" s="25" t="str">
        <f aca="false">IF(N109="","",ROUND(R109*Settings!$B$18,0))</f>
        <v/>
      </c>
      <c r="V109" s="25" t="str">
        <f aca="false">IF(N109="","",ROUND(R109*Settings!$B$19,0)-X109)</f>
        <v/>
      </c>
      <c r="W109" s="25" t="str">
        <f aca="false">IF(N109="","",IF(Settings!$B$31,ROUND(R109*Settings!$B$22,0),0))</f>
        <v/>
      </c>
      <c r="X109" s="25" t="str">
        <f aca="false">IF(N109="","",MIN(ROUND(T109*Settings!$B$20,0),ROUND(R109*Settings!$B$19,0)))</f>
        <v/>
      </c>
      <c r="Y109" s="25" t="str">
        <f aca="false">IF(N109="","",IF(Settings!$B$31,ROUND(S109*Settings!$B$21,0),0))</f>
        <v/>
      </c>
      <c r="Z109" s="25" t="str">
        <f aca="false">IF(N109="","",U109+V109+X109+W109+Y109)</f>
        <v/>
      </c>
      <c r="AA109" s="7" t="str">
        <f aca="false">IF(COUNT(C109:H109)=0,"",TRIM(IF(UPPER(K109)="N","Not a PF member, skipped. ","")&amp;IF(AND(UPPER(K109)&lt;&gt;"N",N(M109)&lt;=0),"PF wage is zero, skipped. ","")&amp;IF(AND(UPPER(K109)&lt;&gt;"N",N(M109)&gt;0,UPPER(L109)="N"),"Pension not applicable, whole 12% goes to EPF. ","")&amp;IF(AND(ISNUMBER(H109),ABS(SUM(C109:G109)-N(H109))&gt;1),"Heads in the file add up to "&amp;SUM(C109:G109)&amp;", Gross is "&amp;H109&amp;" (a pay head may be missing). ","")&amp;IF(AND(Settings!$B$32,N(H109)&gt;0,ISNUMBER(M109),N(M109)&lt;H109*0.5-0.5),"50% check: PF wage is "&amp;TEXT(M109/H109,"0%")&amp;" of gross. ","")&amp;IF(AND(N(M109)&gt;0,UPPER(K109)&lt;&gt;"N",N(N109)+N(O109)=0),"No days to count. ","")))</f>
        <v/>
      </c>
    </row>
    <row r="110" customFormat="false" ht="15" hidden="false" customHeight="false" outlineLevel="0" collapsed="false">
      <c r="A110" s="14"/>
      <c r="B110" s="14"/>
      <c r="C110" s="17"/>
      <c r="D110" s="17"/>
      <c r="E110" s="17"/>
      <c r="F110" s="17"/>
      <c r="G110" s="17"/>
      <c r="H110" s="17"/>
      <c r="I110" s="14"/>
      <c r="J110" s="14"/>
      <c r="K110" s="14"/>
      <c r="L110" s="14"/>
      <c r="M110" s="34" t="str">
        <f aca="false">IF(COUNT(C110:H110)=0,"",IFERROR(MAX(0,ROUND(IF(Settings!$B$33,IF(H110="",SUM(C110:G110),H110)-SUMPRODUCT(($C$4:$G$4="Y")*C110:G110),SUMPRODUCT(($C$4:$G$4="Y")*C110:G110)),0)),"Check inputs"))</f>
        <v/>
      </c>
      <c r="N110" s="35" t="str">
        <f aca="false">IF(AND(N($M110)&gt;0,UPPER($K110)&lt;&gt;"N"),IF(Settings!$B$28,MAX(0,MIN(Settings!$B$16,IF(I110="",Settings!$B$16,I110)))/Settings!$B$15,1),"")</f>
        <v/>
      </c>
      <c r="O110" s="35" t="str">
        <f aca="false">IF(AND(N($M110)&gt;0,UPPER($K110)&lt;&gt;"N"),IF(Settings!$B$28,MAX(0,MIN(Settings!$B$17,IF(J110="",Settings!$B$17,J110)))/Settings!$B$15,0),"")</f>
        <v/>
      </c>
      <c r="P110" s="34" t="str">
        <f aca="false">IF(N110="","",ROUND(IF(Settings!$B$27,MIN($M110,Settings!$B$29),$M110)*N110,0))</f>
        <v/>
      </c>
      <c r="Q110" s="34" t="str">
        <f aca="false">IF(N110="","",ROUND(IF(Settings!$B$27,MIN($M110,Settings!$B$30),$M110)*O110,0))</f>
        <v/>
      </c>
      <c r="R110" s="34" t="str">
        <f aca="false">IF(N110="","",P110+Q110)</f>
        <v/>
      </c>
      <c r="S110" s="34" t="str">
        <f aca="false">IF(N110="","",ROUND(MIN($M110,Settings!$B$29)*N110,0)+ROUND(MIN($M110,Settings!$B$30)*O110,0))</f>
        <v/>
      </c>
      <c r="T110" s="34" t="str">
        <f aca="false">IF(N110="","",IF(UPPER(L110)="N",0,S110))</f>
        <v/>
      </c>
      <c r="U110" s="25" t="str">
        <f aca="false">IF(N110="","",ROUND(R110*Settings!$B$18,0))</f>
        <v/>
      </c>
      <c r="V110" s="25" t="str">
        <f aca="false">IF(N110="","",ROUND(R110*Settings!$B$19,0)-X110)</f>
        <v/>
      </c>
      <c r="W110" s="25" t="str">
        <f aca="false">IF(N110="","",IF(Settings!$B$31,ROUND(R110*Settings!$B$22,0),0))</f>
        <v/>
      </c>
      <c r="X110" s="25" t="str">
        <f aca="false">IF(N110="","",MIN(ROUND(T110*Settings!$B$20,0),ROUND(R110*Settings!$B$19,0)))</f>
        <v/>
      </c>
      <c r="Y110" s="25" t="str">
        <f aca="false">IF(N110="","",IF(Settings!$B$31,ROUND(S110*Settings!$B$21,0),0))</f>
        <v/>
      </c>
      <c r="Z110" s="25" t="str">
        <f aca="false">IF(N110="","",U110+V110+X110+W110+Y110)</f>
        <v/>
      </c>
      <c r="AA110" s="7" t="str">
        <f aca="false">IF(COUNT(C110:H110)=0,"",TRIM(IF(UPPER(K110)="N","Not a PF member, skipped. ","")&amp;IF(AND(UPPER(K110)&lt;&gt;"N",N(M110)&lt;=0),"PF wage is zero, skipped. ","")&amp;IF(AND(UPPER(K110)&lt;&gt;"N",N(M110)&gt;0,UPPER(L110)="N"),"Pension not applicable, whole 12% goes to EPF. ","")&amp;IF(AND(ISNUMBER(H110),ABS(SUM(C110:G110)-N(H110))&gt;1),"Heads in the file add up to "&amp;SUM(C110:G110)&amp;", Gross is "&amp;H110&amp;" (a pay head may be missing). ","")&amp;IF(AND(Settings!$B$32,N(H110)&gt;0,ISNUMBER(M110),N(M110)&lt;H110*0.5-0.5),"50% check: PF wage is "&amp;TEXT(M110/H110,"0%")&amp;" of gross. ","")&amp;IF(AND(N(M110)&gt;0,UPPER(K110)&lt;&gt;"N",N(N110)+N(O110)=0),"No days to count. ","")))</f>
        <v/>
      </c>
    </row>
    <row r="111" customFormat="false" ht="15" hidden="false" customHeight="false" outlineLevel="0" collapsed="false">
      <c r="A111" s="14"/>
      <c r="B111" s="14"/>
      <c r="C111" s="17"/>
      <c r="D111" s="17"/>
      <c r="E111" s="17"/>
      <c r="F111" s="17"/>
      <c r="G111" s="17"/>
      <c r="H111" s="17"/>
      <c r="I111" s="14"/>
      <c r="J111" s="14"/>
      <c r="K111" s="14"/>
      <c r="L111" s="14"/>
      <c r="M111" s="34" t="str">
        <f aca="false">IF(COUNT(C111:H111)=0,"",IFERROR(MAX(0,ROUND(IF(Settings!$B$33,IF(H111="",SUM(C111:G111),H111)-SUMPRODUCT(($C$4:$G$4="Y")*C111:G111),SUMPRODUCT(($C$4:$G$4="Y")*C111:G111)),0)),"Check inputs"))</f>
        <v/>
      </c>
      <c r="N111" s="35" t="str">
        <f aca="false">IF(AND(N($M111)&gt;0,UPPER($K111)&lt;&gt;"N"),IF(Settings!$B$28,MAX(0,MIN(Settings!$B$16,IF(I111="",Settings!$B$16,I111)))/Settings!$B$15,1),"")</f>
        <v/>
      </c>
      <c r="O111" s="35" t="str">
        <f aca="false">IF(AND(N($M111)&gt;0,UPPER($K111)&lt;&gt;"N"),IF(Settings!$B$28,MAX(0,MIN(Settings!$B$17,IF(J111="",Settings!$B$17,J111)))/Settings!$B$15,0),"")</f>
        <v/>
      </c>
      <c r="P111" s="34" t="str">
        <f aca="false">IF(N111="","",ROUND(IF(Settings!$B$27,MIN($M111,Settings!$B$29),$M111)*N111,0))</f>
        <v/>
      </c>
      <c r="Q111" s="34" t="str">
        <f aca="false">IF(N111="","",ROUND(IF(Settings!$B$27,MIN($M111,Settings!$B$30),$M111)*O111,0))</f>
        <v/>
      </c>
      <c r="R111" s="34" t="str">
        <f aca="false">IF(N111="","",P111+Q111)</f>
        <v/>
      </c>
      <c r="S111" s="34" t="str">
        <f aca="false">IF(N111="","",ROUND(MIN($M111,Settings!$B$29)*N111,0)+ROUND(MIN($M111,Settings!$B$30)*O111,0))</f>
        <v/>
      </c>
      <c r="T111" s="34" t="str">
        <f aca="false">IF(N111="","",IF(UPPER(L111)="N",0,S111))</f>
        <v/>
      </c>
      <c r="U111" s="25" t="str">
        <f aca="false">IF(N111="","",ROUND(R111*Settings!$B$18,0))</f>
        <v/>
      </c>
      <c r="V111" s="25" t="str">
        <f aca="false">IF(N111="","",ROUND(R111*Settings!$B$19,0)-X111)</f>
        <v/>
      </c>
      <c r="W111" s="25" t="str">
        <f aca="false">IF(N111="","",IF(Settings!$B$31,ROUND(R111*Settings!$B$22,0),0))</f>
        <v/>
      </c>
      <c r="X111" s="25" t="str">
        <f aca="false">IF(N111="","",MIN(ROUND(T111*Settings!$B$20,0),ROUND(R111*Settings!$B$19,0)))</f>
        <v/>
      </c>
      <c r="Y111" s="25" t="str">
        <f aca="false">IF(N111="","",IF(Settings!$B$31,ROUND(S111*Settings!$B$21,0),0))</f>
        <v/>
      </c>
      <c r="Z111" s="25" t="str">
        <f aca="false">IF(N111="","",U111+V111+X111+W111+Y111)</f>
        <v/>
      </c>
      <c r="AA111" s="7" t="str">
        <f aca="false">IF(COUNT(C111:H111)=0,"",TRIM(IF(UPPER(K111)="N","Not a PF member, skipped. ","")&amp;IF(AND(UPPER(K111)&lt;&gt;"N",N(M111)&lt;=0),"PF wage is zero, skipped. ","")&amp;IF(AND(UPPER(K111)&lt;&gt;"N",N(M111)&gt;0,UPPER(L111)="N"),"Pension not applicable, whole 12% goes to EPF. ","")&amp;IF(AND(ISNUMBER(H111),ABS(SUM(C111:G111)-N(H111))&gt;1),"Heads in the file add up to "&amp;SUM(C111:G111)&amp;", Gross is "&amp;H111&amp;" (a pay head may be missing). ","")&amp;IF(AND(Settings!$B$32,N(H111)&gt;0,ISNUMBER(M111),N(M111)&lt;H111*0.5-0.5),"50% check: PF wage is "&amp;TEXT(M111/H111,"0%")&amp;" of gross. ","")&amp;IF(AND(N(M111)&gt;0,UPPER(K111)&lt;&gt;"N",N(N111)+N(O111)=0),"No days to count. ","")))</f>
        <v/>
      </c>
    </row>
    <row r="112" customFormat="false" ht="15" hidden="false" customHeight="false" outlineLevel="0" collapsed="false">
      <c r="A112" s="14"/>
      <c r="B112" s="14"/>
      <c r="C112" s="17"/>
      <c r="D112" s="17"/>
      <c r="E112" s="17"/>
      <c r="F112" s="17"/>
      <c r="G112" s="17"/>
      <c r="H112" s="17"/>
      <c r="I112" s="14"/>
      <c r="J112" s="14"/>
      <c r="K112" s="14"/>
      <c r="L112" s="14"/>
      <c r="M112" s="34" t="str">
        <f aca="false">IF(COUNT(C112:H112)=0,"",IFERROR(MAX(0,ROUND(IF(Settings!$B$33,IF(H112="",SUM(C112:G112),H112)-SUMPRODUCT(($C$4:$G$4="Y")*C112:G112),SUMPRODUCT(($C$4:$G$4="Y")*C112:G112)),0)),"Check inputs"))</f>
        <v/>
      </c>
      <c r="N112" s="35" t="str">
        <f aca="false">IF(AND(N($M112)&gt;0,UPPER($K112)&lt;&gt;"N"),IF(Settings!$B$28,MAX(0,MIN(Settings!$B$16,IF(I112="",Settings!$B$16,I112)))/Settings!$B$15,1),"")</f>
        <v/>
      </c>
      <c r="O112" s="35" t="str">
        <f aca="false">IF(AND(N($M112)&gt;0,UPPER($K112)&lt;&gt;"N"),IF(Settings!$B$28,MAX(0,MIN(Settings!$B$17,IF(J112="",Settings!$B$17,J112)))/Settings!$B$15,0),"")</f>
        <v/>
      </c>
      <c r="P112" s="34" t="str">
        <f aca="false">IF(N112="","",ROUND(IF(Settings!$B$27,MIN($M112,Settings!$B$29),$M112)*N112,0))</f>
        <v/>
      </c>
      <c r="Q112" s="34" t="str">
        <f aca="false">IF(N112="","",ROUND(IF(Settings!$B$27,MIN($M112,Settings!$B$30),$M112)*O112,0))</f>
        <v/>
      </c>
      <c r="R112" s="34" t="str">
        <f aca="false">IF(N112="","",P112+Q112)</f>
        <v/>
      </c>
      <c r="S112" s="34" t="str">
        <f aca="false">IF(N112="","",ROUND(MIN($M112,Settings!$B$29)*N112,0)+ROUND(MIN($M112,Settings!$B$30)*O112,0))</f>
        <v/>
      </c>
      <c r="T112" s="34" t="str">
        <f aca="false">IF(N112="","",IF(UPPER(L112)="N",0,S112))</f>
        <v/>
      </c>
      <c r="U112" s="25" t="str">
        <f aca="false">IF(N112="","",ROUND(R112*Settings!$B$18,0))</f>
        <v/>
      </c>
      <c r="V112" s="25" t="str">
        <f aca="false">IF(N112="","",ROUND(R112*Settings!$B$19,0)-X112)</f>
        <v/>
      </c>
      <c r="W112" s="25" t="str">
        <f aca="false">IF(N112="","",IF(Settings!$B$31,ROUND(R112*Settings!$B$22,0),0))</f>
        <v/>
      </c>
      <c r="X112" s="25" t="str">
        <f aca="false">IF(N112="","",MIN(ROUND(T112*Settings!$B$20,0),ROUND(R112*Settings!$B$19,0)))</f>
        <v/>
      </c>
      <c r="Y112" s="25" t="str">
        <f aca="false">IF(N112="","",IF(Settings!$B$31,ROUND(S112*Settings!$B$21,0),0))</f>
        <v/>
      </c>
      <c r="Z112" s="25" t="str">
        <f aca="false">IF(N112="","",U112+V112+X112+W112+Y112)</f>
        <v/>
      </c>
      <c r="AA112" s="7" t="str">
        <f aca="false">IF(COUNT(C112:H112)=0,"",TRIM(IF(UPPER(K112)="N","Not a PF member, skipped. ","")&amp;IF(AND(UPPER(K112)&lt;&gt;"N",N(M112)&lt;=0),"PF wage is zero, skipped. ","")&amp;IF(AND(UPPER(K112)&lt;&gt;"N",N(M112)&gt;0,UPPER(L112)="N"),"Pension not applicable, whole 12% goes to EPF. ","")&amp;IF(AND(ISNUMBER(H112),ABS(SUM(C112:G112)-N(H112))&gt;1),"Heads in the file add up to "&amp;SUM(C112:G112)&amp;", Gross is "&amp;H112&amp;" (a pay head may be missing). ","")&amp;IF(AND(Settings!$B$32,N(H112)&gt;0,ISNUMBER(M112),N(M112)&lt;H112*0.5-0.5),"50% check: PF wage is "&amp;TEXT(M112/H112,"0%")&amp;" of gross. ","")&amp;IF(AND(N(M112)&gt;0,UPPER(K112)&lt;&gt;"N",N(N112)+N(O112)=0),"No days to count. ","")))</f>
        <v/>
      </c>
    </row>
    <row r="113" customFormat="false" ht="15" hidden="false" customHeight="false" outlineLevel="0" collapsed="false">
      <c r="A113" s="14"/>
      <c r="B113" s="14"/>
      <c r="C113" s="17"/>
      <c r="D113" s="17"/>
      <c r="E113" s="17"/>
      <c r="F113" s="17"/>
      <c r="G113" s="17"/>
      <c r="H113" s="17"/>
      <c r="I113" s="14"/>
      <c r="J113" s="14"/>
      <c r="K113" s="14"/>
      <c r="L113" s="14"/>
      <c r="M113" s="34" t="str">
        <f aca="false">IF(COUNT(C113:H113)=0,"",IFERROR(MAX(0,ROUND(IF(Settings!$B$33,IF(H113="",SUM(C113:G113),H113)-SUMPRODUCT(($C$4:$G$4="Y")*C113:G113),SUMPRODUCT(($C$4:$G$4="Y")*C113:G113)),0)),"Check inputs"))</f>
        <v/>
      </c>
      <c r="N113" s="35" t="str">
        <f aca="false">IF(AND(N($M113)&gt;0,UPPER($K113)&lt;&gt;"N"),IF(Settings!$B$28,MAX(0,MIN(Settings!$B$16,IF(I113="",Settings!$B$16,I113)))/Settings!$B$15,1),"")</f>
        <v/>
      </c>
      <c r="O113" s="35" t="str">
        <f aca="false">IF(AND(N($M113)&gt;0,UPPER($K113)&lt;&gt;"N"),IF(Settings!$B$28,MAX(0,MIN(Settings!$B$17,IF(J113="",Settings!$B$17,J113)))/Settings!$B$15,0),"")</f>
        <v/>
      </c>
      <c r="P113" s="34" t="str">
        <f aca="false">IF(N113="","",ROUND(IF(Settings!$B$27,MIN($M113,Settings!$B$29),$M113)*N113,0))</f>
        <v/>
      </c>
      <c r="Q113" s="34" t="str">
        <f aca="false">IF(N113="","",ROUND(IF(Settings!$B$27,MIN($M113,Settings!$B$30),$M113)*O113,0))</f>
        <v/>
      </c>
      <c r="R113" s="34" t="str">
        <f aca="false">IF(N113="","",P113+Q113)</f>
        <v/>
      </c>
      <c r="S113" s="34" t="str">
        <f aca="false">IF(N113="","",ROUND(MIN($M113,Settings!$B$29)*N113,0)+ROUND(MIN($M113,Settings!$B$30)*O113,0))</f>
        <v/>
      </c>
      <c r="T113" s="34" t="str">
        <f aca="false">IF(N113="","",IF(UPPER(L113)="N",0,S113))</f>
        <v/>
      </c>
      <c r="U113" s="25" t="str">
        <f aca="false">IF(N113="","",ROUND(R113*Settings!$B$18,0))</f>
        <v/>
      </c>
      <c r="V113" s="25" t="str">
        <f aca="false">IF(N113="","",ROUND(R113*Settings!$B$19,0)-X113)</f>
        <v/>
      </c>
      <c r="W113" s="25" t="str">
        <f aca="false">IF(N113="","",IF(Settings!$B$31,ROUND(R113*Settings!$B$22,0),0))</f>
        <v/>
      </c>
      <c r="X113" s="25" t="str">
        <f aca="false">IF(N113="","",MIN(ROUND(T113*Settings!$B$20,0),ROUND(R113*Settings!$B$19,0)))</f>
        <v/>
      </c>
      <c r="Y113" s="25" t="str">
        <f aca="false">IF(N113="","",IF(Settings!$B$31,ROUND(S113*Settings!$B$21,0),0))</f>
        <v/>
      </c>
      <c r="Z113" s="25" t="str">
        <f aca="false">IF(N113="","",U113+V113+X113+W113+Y113)</f>
        <v/>
      </c>
      <c r="AA113" s="7" t="str">
        <f aca="false">IF(COUNT(C113:H113)=0,"",TRIM(IF(UPPER(K113)="N","Not a PF member, skipped. ","")&amp;IF(AND(UPPER(K113)&lt;&gt;"N",N(M113)&lt;=0),"PF wage is zero, skipped. ","")&amp;IF(AND(UPPER(K113)&lt;&gt;"N",N(M113)&gt;0,UPPER(L113)="N"),"Pension not applicable, whole 12% goes to EPF. ","")&amp;IF(AND(ISNUMBER(H113),ABS(SUM(C113:G113)-N(H113))&gt;1),"Heads in the file add up to "&amp;SUM(C113:G113)&amp;", Gross is "&amp;H113&amp;" (a pay head may be missing). ","")&amp;IF(AND(Settings!$B$32,N(H113)&gt;0,ISNUMBER(M113),N(M113)&lt;H113*0.5-0.5),"50% check: PF wage is "&amp;TEXT(M113/H113,"0%")&amp;" of gross. ","")&amp;IF(AND(N(M113)&gt;0,UPPER(K113)&lt;&gt;"N",N(N113)+N(O113)=0),"No days to count. ","")))</f>
        <v/>
      </c>
    </row>
    <row r="114" customFormat="false" ht="15" hidden="false" customHeight="false" outlineLevel="0" collapsed="false">
      <c r="A114" s="14"/>
      <c r="B114" s="14"/>
      <c r="C114" s="17"/>
      <c r="D114" s="17"/>
      <c r="E114" s="17"/>
      <c r="F114" s="17"/>
      <c r="G114" s="17"/>
      <c r="H114" s="17"/>
      <c r="I114" s="14"/>
      <c r="J114" s="14"/>
      <c r="K114" s="14"/>
      <c r="L114" s="14"/>
      <c r="M114" s="34" t="str">
        <f aca="false">IF(COUNT(C114:H114)=0,"",IFERROR(MAX(0,ROUND(IF(Settings!$B$33,IF(H114="",SUM(C114:G114),H114)-SUMPRODUCT(($C$4:$G$4="Y")*C114:G114),SUMPRODUCT(($C$4:$G$4="Y")*C114:G114)),0)),"Check inputs"))</f>
        <v/>
      </c>
      <c r="N114" s="35" t="str">
        <f aca="false">IF(AND(N($M114)&gt;0,UPPER($K114)&lt;&gt;"N"),IF(Settings!$B$28,MAX(0,MIN(Settings!$B$16,IF(I114="",Settings!$B$16,I114)))/Settings!$B$15,1),"")</f>
        <v/>
      </c>
      <c r="O114" s="35" t="str">
        <f aca="false">IF(AND(N($M114)&gt;0,UPPER($K114)&lt;&gt;"N"),IF(Settings!$B$28,MAX(0,MIN(Settings!$B$17,IF(J114="",Settings!$B$17,J114)))/Settings!$B$15,0),"")</f>
        <v/>
      </c>
      <c r="P114" s="34" t="str">
        <f aca="false">IF(N114="","",ROUND(IF(Settings!$B$27,MIN($M114,Settings!$B$29),$M114)*N114,0))</f>
        <v/>
      </c>
      <c r="Q114" s="34" t="str">
        <f aca="false">IF(N114="","",ROUND(IF(Settings!$B$27,MIN($M114,Settings!$B$30),$M114)*O114,0))</f>
        <v/>
      </c>
      <c r="R114" s="34" t="str">
        <f aca="false">IF(N114="","",P114+Q114)</f>
        <v/>
      </c>
      <c r="S114" s="34" t="str">
        <f aca="false">IF(N114="","",ROUND(MIN($M114,Settings!$B$29)*N114,0)+ROUND(MIN($M114,Settings!$B$30)*O114,0))</f>
        <v/>
      </c>
      <c r="T114" s="34" t="str">
        <f aca="false">IF(N114="","",IF(UPPER(L114)="N",0,S114))</f>
        <v/>
      </c>
      <c r="U114" s="25" t="str">
        <f aca="false">IF(N114="","",ROUND(R114*Settings!$B$18,0))</f>
        <v/>
      </c>
      <c r="V114" s="25" t="str">
        <f aca="false">IF(N114="","",ROUND(R114*Settings!$B$19,0)-X114)</f>
        <v/>
      </c>
      <c r="W114" s="25" t="str">
        <f aca="false">IF(N114="","",IF(Settings!$B$31,ROUND(R114*Settings!$B$22,0),0))</f>
        <v/>
      </c>
      <c r="X114" s="25" t="str">
        <f aca="false">IF(N114="","",MIN(ROUND(T114*Settings!$B$20,0),ROUND(R114*Settings!$B$19,0)))</f>
        <v/>
      </c>
      <c r="Y114" s="25" t="str">
        <f aca="false">IF(N114="","",IF(Settings!$B$31,ROUND(S114*Settings!$B$21,0),0))</f>
        <v/>
      </c>
      <c r="Z114" s="25" t="str">
        <f aca="false">IF(N114="","",U114+V114+X114+W114+Y114)</f>
        <v/>
      </c>
      <c r="AA114" s="7" t="str">
        <f aca="false">IF(COUNT(C114:H114)=0,"",TRIM(IF(UPPER(K114)="N","Not a PF member, skipped. ","")&amp;IF(AND(UPPER(K114)&lt;&gt;"N",N(M114)&lt;=0),"PF wage is zero, skipped. ","")&amp;IF(AND(UPPER(K114)&lt;&gt;"N",N(M114)&gt;0,UPPER(L114)="N"),"Pension not applicable, whole 12% goes to EPF. ","")&amp;IF(AND(ISNUMBER(H114),ABS(SUM(C114:G114)-N(H114))&gt;1),"Heads in the file add up to "&amp;SUM(C114:G114)&amp;", Gross is "&amp;H114&amp;" (a pay head may be missing). ","")&amp;IF(AND(Settings!$B$32,N(H114)&gt;0,ISNUMBER(M114),N(M114)&lt;H114*0.5-0.5),"50% check: PF wage is "&amp;TEXT(M114/H114,"0%")&amp;" of gross. ","")&amp;IF(AND(N(M114)&gt;0,UPPER(K114)&lt;&gt;"N",N(N114)+N(O114)=0),"No days to count. ","")))</f>
        <v/>
      </c>
    </row>
    <row r="115" customFormat="false" ht="15" hidden="false" customHeight="false" outlineLevel="0" collapsed="false">
      <c r="A115" s="14"/>
      <c r="B115" s="14"/>
      <c r="C115" s="17"/>
      <c r="D115" s="17"/>
      <c r="E115" s="17"/>
      <c r="F115" s="17"/>
      <c r="G115" s="17"/>
      <c r="H115" s="17"/>
      <c r="I115" s="14"/>
      <c r="J115" s="14"/>
      <c r="K115" s="14"/>
      <c r="L115" s="14"/>
      <c r="M115" s="34" t="str">
        <f aca="false">IF(COUNT(C115:H115)=0,"",IFERROR(MAX(0,ROUND(IF(Settings!$B$33,IF(H115="",SUM(C115:G115),H115)-SUMPRODUCT(($C$4:$G$4="Y")*C115:G115),SUMPRODUCT(($C$4:$G$4="Y")*C115:G115)),0)),"Check inputs"))</f>
        <v/>
      </c>
      <c r="N115" s="35" t="str">
        <f aca="false">IF(AND(N($M115)&gt;0,UPPER($K115)&lt;&gt;"N"),IF(Settings!$B$28,MAX(0,MIN(Settings!$B$16,IF(I115="",Settings!$B$16,I115)))/Settings!$B$15,1),"")</f>
        <v/>
      </c>
      <c r="O115" s="35" t="str">
        <f aca="false">IF(AND(N($M115)&gt;0,UPPER($K115)&lt;&gt;"N"),IF(Settings!$B$28,MAX(0,MIN(Settings!$B$17,IF(J115="",Settings!$B$17,J115)))/Settings!$B$15,0),"")</f>
        <v/>
      </c>
      <c r="P115" s="34" t="str">
        <f aca="false">IF(N115="","",ROUND(IF(Settings!$B$27,MIN($M115,Settings!$B$29),$M115)*N115,0))</f>
        <v/>
      </c>
      <c r="Q115" s="34" t="str">
        <f aca="false">IF(N115="","",ROUND(IF(Settings!$B$27,MIN($M115,Settings!$B$30),$M115)*O115,0))</f>
        <v/>
      </c>
      <c r="R115" s="34" t="str">
        <f aca="false">IF(N115="","",P115+Q115)</f>
        <v/>
      </c>
      <c r="S115" s="34" t="str">
        <f aca="false">IF(N115="","",ROUND(MIN($M115,Settings!$B$29)*N115,0)+ROUND(MIN($M115,Settings!$B$30)*O115,0))</f>
        <v/>
      </c>
      <c r="T115" s="34" t="str">
        <f aca="false">IF(N115="","",IF(UPPER(L115)="N",0,S115))</f>
        <v/>
      </c>
      <c r="U115" s="25" t="str">
        <f aca="false">IF(N115="","",ROUND(R115*Settings!$B$18,0))</f>
        <v/>
      </c>
      <c r="V115" s="25" t="str">
        <f aca="false">IF(N115="","",ROUND(R115*Settings!$B$19,0)-X115)</f>
        <v/>
      </c>
      <c r="W115" s="25" t="str">
        <f aca="false">IF(N115="","",IF(Settings!$B$31,ROUND(R115*Settings!$B$22,0),0))</f>
        <v/>
      </c>
      <c r="X115" s="25" t="str">
        <f aca="false">IF(N115="","",MIN(ROUND(T115*Settings!$B$20,0),ROUND(R115*Settings!$B$19,0)))</f>
        <v/>
      </c>
      <c r="Y115" s="25" t="str">
        <f aca="false">IF(N115="","",IF(Settings!$B$31,ROUND(S115*Settings!$B$21,0),0))</f>
        <v/>
      </c>
      <c r="Z115" s="25" t="str">
        <f aca="false">IF(N115="","",U115+V115+X115+W115+Y115)</f>
        <v/>
      </c>
      <c r="AA115" s="7" t="str">
        <f aca="false">IF(COUNT(C115:H115)=0,"",TRIM(IF(UPPER(K115)="N","Not a PF member, skipped. ","")&amp;IF(AND(UPPER(K115)&lt;&gt;"N",N(M115)&lt;=0),"PF wage is zero, skipped. ","")&amp;IF(AND(UPPER(K115)&lt;&gt;"N",N(M115)&gt;0,UPPER(L115)="N"),"Pension not applicable, whole 12% goes to EPF. ","")&amp;IF(AND(ISNUMBER(H115),ABS(SUM(C115:G115)-N(H115))&gt;1),"Heads in the file add up to "&amp;SUM(C115:G115)&amp;", Gross is "&amp;H115&amp;" (a pay head may be missing). ","")&amp;IF(AND(Settings!$B$32,N(H115)&gt;0,ISNUMBER(M115),N(M115)&lt;H115*0.5-0.5),"50% check: PF wage is "&amp;TEXT(M115/H115,"0%")&amp;" of gross. ","")&amp;IF(AND(N(M115)&gt;0,UPPER(K115)&lt;&gt;"N",N(N115)+N(O115)=0),"No days to count. ","")))</f>
        <v/>
      </c>
    </row>
    <row r="116" customFormat="false" ht="15" hidden="false" customHeight="false" outlineLevel="0" collapsed="false">
      <c r="A116" s="14"/>
      <c r="B116" s="14"/>
      <c r="C116" s="17"/>
      <c r="D116" s="17"/>
      <c r="E116" s="17"/>
      <c r="F116" s="17"/>
      <c r="G116" s="17"/>
      <c r="H116" s="17"/>
      <c r="I116" s="14"/>
      <c r="J116" s="14"/>
      <c r="K116" s="14"/>
      <c r="L116" s="14"/>
      <c r="M116" s="34" t="str">
        <f aca="false">IF(COUNT(C116:H116)=0,"",IFERROR(MAX(0,ROUND(IF(Settings!$B$33,IF(H116="",SUM(C116:G116),H116)-SUMPRODUCT(($C$4:$G$4="Y")*C116:G116),SUMPRODUCT(($C$4:$G$4="Y")*C116:G116)),0)),"Check inputs"))</f>
        <v/>
      </c>
      <c r="N116" s="35" t="str">
        <f aca="false">IF(AND(N($M116)&gt;0,UPPER($K116)&lt;&gt;"N"),IF(Settings!$B$28,MAX(0,MIN(Settings!$B$16,IF(I116="",Settings!$B$16,I116)))/Settings!$B$15,1),"")</f>
        <v/>
      </c>
      <c r="O116" s="35" t="str">
        <f aca="false">IF(AND(N($M116)&gt;0,UPPER($K116)&lt;&gt;"N"),IF(Settings!$B$28,MAX(0,MIN(Settings!$B$17,IF(J116="",Settings!$B$17,J116)))/Settings!$B$15,0),"")</f>
        <v/>
      </c>
      <c r="P116" s="34" t="str">
        <f aca="false">IF(N116="","",ROUND(IF(Settings!$B$27,MIN($M116,Settings!$B$29),$M116)*N116,0))</f>
        <v/>
      </c>
      <c r="Q116" s="34" t="str">
        <f aca="false">IF(N116="","",ROUND(IF(Settings!$B$27,MIN($M116,Settings!$B$30),$M116)*O116,0))</f>
        <v/>
      </c>
      <c r="R116" s="34" t="str">
        <f aca="false">IF(N116="","",P116+Q116)</f>
        <v/>
      </c>
      <c r="S116" s="34" t="str">
        <f aca="false">IF(N116="","",ROUND(MIN($M116,Settings!$B$29)*N116,0)+ROUND(MIN($M116,Settings!$B$30)*O116,0))</f>
        <v/>
      </c>
      <c r="T116" s="34" t="str">
        <f aca="false">IF(N116="","",IF(UPPER(L116)="N",0,S116))</f>
        <v/>
      </c>
      <c r="U116" s="25" t="str">
        <f aca="false">IF(N116="","",ROUND(R116*Settings!$B$18,0))</f>
        <v/>
      </c>
      <c r="V116" s="25" t="str">
        <f aca="false">IF(N116="","",ROUND(R116*Settings!$B$19,0)-X116)</f>
        <v/>
      </c>
      <c r="W116" s="25" t="str">
        <f aca="false">IF(N116="","",IF(Settings!$B$31,ROUND(R116*Settings!$B$22,0),0))</f>
        <v/>
      </c>
      <c r="X116" s="25" t="str">
        <f aca="false">IF(N116="","",MIN(ROUND(T116*Settings!$B$20,0),ROUND(R116*Settings!$B$19,0)))</f>
        <v/>
      </c>
      <c r="Y116" s="25" t="str">
        <f aca="false">IF(N116="","",IF(Settings!$B$31,ROUND(S116*Settings!$B$21,0),0))</f>
        <v/>
      </c>
      <c r="Z116" s="25" t="str">
        <f aca="false">IF(N116="","",U116+V116+X116+W116+Y116)</f>
        <v/>
      </c>
      <c r="AA116" s="7" t="str">
        <f aca="false">IF(COUNT(C116:H116)=0,"",TRIM(IF(UPPER(K116)="N","Not a PF member, skipped. ","")&amp;IF(AND(UPPER(K116)&lt;&gt;"N",N(M116)&lt;=0),"PF wage is zero, skipped. ","")&amp;IF(AND(UPPER(K116)&lt;&gt;"N",N(M116)&gt;0,UPPER(L116)="N"),"Pension not applicable, whole 12% goes to EPF. ","")&amp;IF(AND(ISNUMBER(H116),ABS(SUM(C116:G116)-N(H116))&gt;1),"Heads in the file add up to "&amp;SUM(C116:G116)&amp;", Gross is "&amp;H116&amp;" (a pay head may be missing). ","")&amp;IF(AND(Settings!$B$32,N(H116)&gt;0,ISNUMBER(M116),N(M116)&lt;H116*0.5-0.5),"50% check: PF wage is "&amp;TEXT(M116/H116,"0%")&amp;" of gross. ","")&amp;IF(AND(N(M116)&gt;0,UPPER(K116)&lt;&gt;"N",N(N116)+N(O116)=0),"No days to count. ","")))</f>
        <v/>
      </c>
    </row>
    <row r="117" customFormat="false" ht="15" hidden="false" customHeight="false" outlineLevel="0" collapsed="false">
      <c r="A117" s="14"/>
      <c r="B117" s="14"/>
      <c r="C117" s="17"/>
      <c r="D117" s="17"/>
      <c r="E117" s="17"/>
      <c r="F117" s="17"/>
      <c r="G117" s="17"/>
      <c r="H117" s="17"/>
      <c r="I117" s="14"/>
      <c r="J117" s="14"/>
      <c r="K117" s="14"/>
      <c r="L117" s="14"/>
      <c r="M117" s="34" t="str">
        <f aca="false">IF(COUNT(C117:H117)=0,"",IFERROR(MAX(0,ROUND(IF(Settings!$B$33,IF(H117="",SUM(C117:G117),H117)-SUMPRODUCT(($C$4:$G$4="Y")*C117:G117),SUMPRODUCT(($C$4:$G$4="Y")*C117:G117)),0)),"Check inputs"))</f>
        <v/>
      </c>
      <c r="N117" s="35" t="str">
        <f aca="false">IF(AND(N($M117)&gt;0,UPPER($K117)&lt;&gt;"N"),IF(Settings!$B$28,MAX(0,MIN(Settings!$B$16,IF(I117="",Settings!$B$16,I117)))/Settings!$B$15,1),"")</f>
        <v/>
      </c>
      <c r="O117" s="35" t="str">
        <f aca="false">IF(AND(N($M117)&gt;0,UPPER($K117)&lt;&gt;"N"),IF(Settings!$B$28,MAX(0,MIN(Settings!$B$17,IF(J117="",Settings!$B$17,J117)))/Settings!$B$15,0),"")</f>
        <v/>
      </c>
      <c r="P117" s="34" t="str">
        <f aca="false">IF(N117="","",ROUND(IF(Settings!$B$27,MIN($M117,Settings!$B$29),$M117)*N117,0))</f>
        <v/>
      </c>
      <c r="Q117" s="34" t="str">
        <f aca="false">IF(N117="","",ROUND(IF(Settings!$B$27,MIN($M117,Settings!$B$30),$M117)*O117,0))</f>
        <v/>
      </c>
      <c r="R117" s="34" t="str">
        <f aca="false">IF(N117="","",P117+Q117)</f>
        <v/>
      </c>
      <c r="S117" s="34" t="str">
        <f aca="false">IF(N117="","",ROUND(MIN($M117,Settings!$B$29)*N117,0)+ROUND(MIN($M117,Settings!$B$30)*O117,0))</f>
        <v/>
      </c>
      <c r="T117" s="34" t="str">
        <f aca="false">IF(N117="","",IF(UPPER(L117)="N",0,S117))</f>
        <v/>
      </c>
      <c r="U117" s="25" t="str">
        <f aca="false">IF(N117="","",ROUND(R117*Settings!$B$18,0))</f>
        <v/>
      </c>
      <c r="V117" s="25" t="str">
        <f aca="false">IF(N117="","",ROUND(R117*Settings!$B$19,0)-X117)</f>
        <v/>
      </c>
      <c r="W117" s="25" t="str">
        <f aca="false">IF(N117="","",IF(Settings!$B$31,ROUND(R117*Settings!$B$22,0),0))</f>
        <v/>
      </c>
      <c r="X117" s="25" t="str">
        <f aca="false">IF(N117="","",MIN(ROUND(T117*Settings!$B$20,0),ROUND(R117*Settings!$B$19,0)))</f>
        <v/>
      </c>
      <c r="Y117" s="25" t="str">
        <f aca="false">IF(N117="","",IF(Settings!$B$31,ROUND(S117*Settings!$B$21,0),0))</f>
        <v/>
      </c>
      <c r="Z117" s="25" t="str">
        <f aca="false">IF(N117="","",U117+V117+X117+W117+Y117)</f>
        <v/>
      </c>
      <c r="AA117" s="7" t="str">
        <f aca="false">IF(COUNT(C117:H117)=0,"",TRIM(IF(UPPER(K117)="N","Not a PF member, skipped. ","")&amp;IF(AND(UPPER(K117)&lt;&gt;"N",N(M117)&lt;=0),"PF wage is zero, skipped. ","")&amp;IF(AND(UPPER(K117)&lt;&gt;"N",N(M117)&gt;0,UPPER(L117)="N"),"Pension not applicable, whole 12% goes to EPF. ","")&amp;IF(AND(ISNUMBER(H117),ABS(SUM(C117:G117)-N(H117))&gt;1),"Heads in the file add up to "&amp;SUM(C117:G117)&amp;", Gross is "&amp;H117&amp;" (a pay head may be missing). ","")&amp;IF(AND(Settings!$B$32,N(H117)&gt;0,ISNUMBER(M117),N(M117)&lt;H117*0.5-0.5),"50% check: PF wage is "&amp;TEXT(M117/H117,"0%")&amp;" of gross. ","")&amp;IF(AND(N(M117)&gt;0,UPPER(K117)&lt;&gt;"N",N(N117)+N(O117)=0),"No days to count. ","")))</f>
        <v/>
      </c>
    </row>
    <row r="118" customFormat="false" ht="15" hidden="false" customHeight="false" outlineLevel="0" collapsed="false">
      <c r="A118" s="14"/>
      <c r="B118" s="14"/>
      <c r="C118" s="17"/>
      <c r="D118" s="17"/>
      <c r="E118" s="17"/>
      <c r="F118" s="17"/>
      <c r="G118" s="17"/>
      <c r="H118" s="17"/>
      <c r="I118" s="14"/>
      <c r="J118" s="14"/>
      <c r="K118" s="14"/>
      <c r="L118" s="14"/>
      <c r="M118" s="34" t="str">
        <f aca="false">IF(COUNT(C118:H118)=0,"",IFERROR(MAX(0,ROUND(IF(Settings!$B$33,IF(H118="",SUM(C118:G118),H118)-SUMPRODUCT(($C$4:$G$4="Y")*C118:G118),SUMPRODUCT(($C$4:$G$4="Y")*C118:G118)),0)),"Check inputs"))</f>
        <v/>
      </c>
      <c r="N118" s="35" t="str">
        <f aca="false">IF(AND(N($M118)&gt;0,UPPER($K118)&lt;&gt;"N"),IF(Settings!$B$28,MAX(0,MIN(Settings!$B$16,IF(I118="",Settings!$B$16,I118)))/Settings!$B$15,1),"")</f>
        <v/>
      </c>
      <c r="O118" s="35" t="str">
        <f aca="false">IF(AND(N($M118)&gt;0,UPPER($K118)&lt;&gt;"N"),IF(Settings!$B$28,MAX(0,MIN(Settings!$B$17,IF(J118="",Settings!$B$17,J118)))/Settings!$B$15,0),"")</f>
        <v/>
      </c>
      <c r="P118" s="34" t="str">
        <f aca="false">IF(N118="","",ROUND(IF(Settings!$B$27,MIN($M118,Settings!$B$29),$M118)*N118,0))</f>
        <v/>
      </c>
      <c r="Q118" s="34" t="str">
        <f aca="false">IF(N118="","",ROUND(IF(Settings!$B$27,MIN($M118,Settings!$B$30),$M118)*O118,0))</f>
        <v/>
      </c>
      <c r="R118" s="34" t="str">
        <f aca="false">IF(N118="","",P118+Q118)</f>
        <v/>
      </c>
      <c r="S118" s="34" t="str">
        <f aca="false">IF(N118="","",ROUND(MIN($M118,Settings!$B$29)*N118,0)+ROUND(MIN($M118,Settings!$B$30)*O118,0))</f>
        <v/>
      </c>
      <c r="T118" s="34" t="str">
        <f aca="false">IF(N118="","",IF(UPPER(L118)="N",0,S118))</f>
        <v/>
      </c>
      <c r="U118" s="25" t="str">
        <f aca="false">IF(N118="","",ROUND(R118*Settings!$B$18,0))</f>
        <v/>
      </c>
      <c r="V118" s="25" t="str">
        <f aca="false">IF(N118="","",ROUND(R118*Settings!$B$19,0)-X118)</f>
        <v/>
      </c>
      <c r="W118" s="25" t="str">
        <f aca="false">IF(N118="","",IF(Settings!$B$31,ROUND(R118*Settings!$B$22,0),0))</f>
        <v/>
      </c>
      <c r="X118" s="25" t="str">
        <f aca="false">IF(N118="","",MIN(ROUND(T118*Settings!$B$20,0),ROUND(R118*Settings!$B$19,0)))</f>
        <v/>
      </c>
      <c r="Y118" s="25" t="str">
        <f aca="false">IF(N118="","",IF(Settings!$B$31,ROUND(S118*Settings!$B$21,0),0))</f>
        <v/>
      </c>
      <c r="Z118" s="25" t="str">
        <f aca="false">IF(N118="","",U118+V118+X118+W118+Y118)</f>
        <v/>
      </c>
      <c r="AA118" s="7" t="str">
        <f aca="false">IF(COUNT(C118:H118)=0,"",TRIM(IF(UPPER(K118)="N","Not a PF member, skipped. ","")&amp;IF(AND(UPPER(K118)&lt;&gt;"N",N(M118)&lt;=0),"PF wage is zero, skipped. ","")&amp;IF(AND(UPPER(K118)&lt;&gt;"N",N(M118)&gt;0,UPPER(L118)="N"),"Pension not applicable, whole 12% goes to EPF. ","")&amp;IF(AND(ISNUMBER(H118),ABS(SUM(C118:G118)-N(H118))&gt;1),"Heads in the file add up to "&amp;SUM(C118:G118)&amp;", Gross is "&amp;H118&amp;" (a pay head may be missing). ","")&amp;IF(AND(Settings!$B$32,N(H118)&gt;0,ISNUMBER(M118),N(M118)&lt;H118*0.5-0.5),"50% check: PF wage is "&amp;TEXT(M118/H118,"0%")&amp;" of gross. ","")&amp;IF(AND(N(M118)&gt;0,UPPER(K118)&lt;&gt;"N",N(N118)+N(O118)=0),"No days to count. ","")))</f>
        <v/>
      </c>
    </row>
    <row r="119" customFormat="false" ht="15" hidden="false" customHeight="false" outlineLevel="0" collapsed="false">
      <c r="A119" s="14"/>
      <c r="B119" s="14"/>
      <c r="C119" s="17"/>
      <c r="D119" s="17"/>
      <c r="E119" s="17"/>
      <c r="F119" s="17"/>
      <c r="G119" s="17"/>
      <c r="H119" s="17"/>
      <c r="I119" s="14"/>
      <c r="J119" s="14"/>
      <c r="K119" s="14"/>
      <c r="L119" s="14"/>
      <c r="M119" s="34" t="str">
        <f aca="false">IF(COUNT(C119:H119)=0,"",IFERROR(MAX(0,ROUND(IF(Settings!$B$33,IF(H119="",SUM(C119:G119),H119)-SUMPRODUCT(($C$4:$G$4="Y")*C119:G119),SUMPRODUCT(($C$4:$G$4="Y")*C119:G119)),0)),"Check inputs"))</f>
        <v/>
      </c>
      <c r="N119" s="35" t="str">
        <f aca="false">IF(AND(N($M119)&gt;0,UPPER($K119)&lt;&gt;"N"),IF(Settings!$B$28,MAX(0,MIN(Settings!$B$16,IF(I119="",Settings!$B$16,I119)))/Settings!$B$15,1),"")</f>
        <v/>
      </c>
      <c r="O119" s="35" t="str">
        <f aca="false">IF(AND(N($M119)&gt;0,UPPER($K119)&lt;&gt;"N"),IF(Settings!$B$28,MAX(0,MIN(Settings!$B$17,IF(J119="",Settings!$B$17,J119)))/Settings!$B$15,0),"")</f>
        <v/>
      </c>
      <c r="P119" s="34" t="str">
        <f aca="false">IF(N119="","",ROUND(IF(Settings!$B$27,MIN($M119,Settings!$B$29),$M119)*N119,0))</f>
        <v/>
      </c>
      <c r="Q119" s="34" t="str">
        <f aca="false">IF(N119="","",ROUND(IF(Settings!$B$27,MIN($M119,Settings!$B$30),$M119)*O119,0))</f>
        <v/>
      </c>
      <c r="R119" s="34" t="str">
        <f aca="false">IF(N119="","",P119+Q119)</f>
        <v/>
      </c>
      <c r="S119" s="34" t="str">
        <f aca="false">IF(N119="","",ROUND(MIN($M119,Settings!$B$29)*N119,0)+ROUND(MIN($M119,Settings!$B$30)*O119,0))</f>
        <v/>
      </c>
      <c r="T119" s="34" t="str">
        <f aca="false">IF(N119="","",IF(UPPER(L119)="N",0,S119))</f>
        <v/>
      </c>
      <c r="U119" s="25" t="str">
        <f aca="false">IF(N119="","",ROUND(R119*Settings!$B$18,0))</f>
        <v/>
      </c>
      <c r="V119" s="25" t="str">
        <f aca="false">IF(N119="","",ROUND(R119*Settings!$B$19,0)-X119)</f>
        <v/>
      </c>
      <c r="W119" s="25" t="str">
        <f aca="false">IF(N119="","",IF(Settings!$B$31,ROUND(R119*Settings!$B$22,0),0))</f>
        <v/>
      </c>
      <c r="X119" s="25" t="str">
        <f aca="false">IF(N119="","",MIN(ROUND(T119*Settings!$B$20,0),ROUND(R119*Settings!$B$19,0)))</f>
        <v/>
      </c>
      <c r="Y119" s="25" t="str">
        <f aca="false">IF(N119="","",IF(Settings!$B$31,ROUND(S119*Settings!$B$21,0),0))</f>
        <v/>
      </c>
      <c r="Z119" s="25" t="str">
        <f aca="false">IF(N119="","",U119+V119+X119+W119+Y119)</f>
        <v/>
      </c>
      <c r="AA119" s="7" t="str">
        <f aca="false">IF(COUNT(C119:H119)=0,"",TRIM(IF(UPPER(K119)="N","Not a PF member, skipped. ","")&amp;IF(AND(UPPER(K119)&lt;&gt;"N",N(M119)&lt;=0),"PF wage is zero, skipped. ","")&amp;IF(AND(UPPER(K119)&lt;&gt;"N",N(M119)&gt;0,UPPER(L119)="N"),"Pension not applicable, whole 12% goes to EPF. ","")&amp;IF(AND(ISNUMBER(H119),ABS(SUM(C119:G119)-N(H119))&gt;1),"Heads in the file add up to "&amp;SUM(C119:G119)&amp;", Gross is "&amp;H119&amp;" (a pay head may be missing). ","")&amp;IF(AND(Settings!$B$32,N(H119)&gt;0,ISNUMBER(M119),N(M119)&lt;H119*0.5-0.5),"50% check: PF wage is "&amp;TEXT(M119/H119,"0%")&amp;" of gross. ","")&amp;IF(AND(N(M119)&gt;0,UPPER(K119)&lt;&gt;"N",N(N119)+N(O119)=0),"No days to count. ","")))</f>
        <v/>
      </c>
    </row>
    <row r="120" customFormat="false" ht="15" hidden="false" customHeight="false" outlineLevel="0" collapsed="false">
      <c r="A120" s="14"/>
      <c r="B120" s="14"/>
      <c r="C120" s="17"/>
      <c r="D120" s="17"/>
      <c r="E120" s="17"/>
      <c r="F120" s="17"/>
      <c r="G120" s="17"/>
      <c r="H120" s="17"/>
      <c r="I120" s="14"/>
      <c r="J120" s="14"/>
      <c r="K120" s="14"/>
      <c r="L120" s="14"/>
      <c r="M120" s="34" t="str">
        <f aca="false">IF(COUNT(C120:H120)=0,"",IFERROR(MAX(0,ROUND(IF(Settings!$B$33,IF(H120="",SUM(C120:G120),H120)-SUMPRODUCT(($C$4:$G$4="Y")*C120:G120),SUMPRODUCT(($C$4:$G$4="Y")*C120:G120)),0)),"Check inputs"))</f>
        <v/>
      </c>
      <c r="N120" s="35" t="str">
        <f aca="false">IF(AND(N($M120)&gt;0,UPPER($K120)&lt;&gt;"N"),IF(Settings!$B$28,MAX(0,MIN(Settings!$B$16,IF(I120="",Settings!$B$16,I120)))/Settings!$B$15,1),"")</f>
        <v/>
      </c>
      <c r="O120" s="35" t="str">
        <f aca="false">IF(AND(N($M120)&gt;0,UPPER($K120)&lt;&gt;"N"),IF(Settings!$B$28,MAX(0,MIN(Settings!$B$17,IF(J120="",Settings!$B$17,J120)))/Settings!$B$15,0),"")</f>
        <v/>
      </c>
      <c r="P120" s="34" t="str">
        <f aca="false">IF(N120="","",ROUND(IF(Settings!$B$27,MIN($M120,Settings!$B$29),$M120)*N120,0))</f>
        <v/>
      </c>
      <c r="Q120" s="34" t="str">
        <f aca="false">IF(N120="","",ROUND(IF(Settings!$B$27,MIN($M120,Settings!$B$30),$M120)*O120,0))</f>
        <v/>
      </c>
      <c r="R120" s="34" t="str">
        <f aca="false">IF(N120="","",P120+Q120)</f>
        <v/>
      </c>
      <c r="S120" s="34" t="str">
        <f aca="false">IF(N120="","",ROUND(MIN($M120,Settings!$B$29)*N120,0)+ROUND(MIN($M120,Settings!$B$30)*O120,0))</f>
        <v/>
      </c>
      <c r="T120" s="34" t="str">
        <f aca="false">IF(N120="","",IF(UPPER(L120)="N",0,S120))</f>
        <v/>
      </c>
      <c r="U120" s="25" t="str">
        <f aca="false">IF(N120="","",ROUND(R120*Settings!$B$18,0))</f>
        <v/>
      </c>
      <c r="V120" s="25" t="str">
        <f aca="false">IF(N120="","",ROUND(R120*Settings!$B$19,0)-X120)</f>
        <v/>
      </c>
      <c r="W120" s="25" t="str">
        <f aca="false">IF(N120="","",IF(Settings!$B$31,ROUND(R120*Settings!$B$22,0),0))</f>
        <v/>
      </c>
      <c r="X120" s="25" t="str">
        <f aca="false">IF(N120="","",MIN(ROUND(T120*Settings!$B$20,0),ROUND(R120*Settings!$B$19,0)))</f>
        <v/>
      </c>
      <c r="Y120" s="25" t="str">
        <f aca="false">IF(N120="","",IF(Settings!$B$31,ROUND(S120*Settings!$B$21,0),0))</f>
        <v/>
      </c>
      <c r="Z120" s="25" t="str">
        <f aca="false">IF(N120="","",U120+V120+X120+W120+Y120)</f>
        <v/>
      </c>
      <c r="AA120" s="7" t="str">
        <f aca="false">IF(COUNT(C120:H120)=0,"",TRIM(IF(UPPER(K120)="N","Not a PF member, skipped. ","")&amp;IF(AND(UPPER(K120)&lt;&gt;"N",N(M120)&lt;=0),"PF wage is zero, skipped. ","")&amp;IF(AND(UPPER(K120)&lt;&gt;"N",N(M120)&gt;0,UPPER(L120)="N"),"Pension not applicable, whole 12% goes to EPF. ","")&amp;IF(AND(ISNUMBER(H120),ABS(SUM(C120:G120)-N(H120))&gt;1),"Heads in the file add up to "&amp;SUM(C120:G120)&amp;", Gross is "&amp;H120&amp;" (a pay head may be missing). ","")&amp;IF(AND(Settings!$B$32,N(H120)&gt;0,ISNUMBER(M120),N(M120)&lt;H120*0.5-0.5),"50% check: PF wage is "&amp;TEXT(M120/H120,"0%")&amp;" of gross. ","")&amp;IF(AND(N(M120)&gt;0,UPPER(K120)&lt;&gt;"N",N(N120)+N(O120)=0),"No days to count. ","")))</f>
        <v/>
      </c>
    </row>
    <row r="121" customFormat="false" ht="15" hidden="false" customHeight="false" outlineLevel="0" collapsed="false">
      <c r="A121" s="14"/>
      <c r="B121" s="14"/>
      <c r="C121" s="17"/>
      <c r="D121" s="17"/>
      <c r="E121" s="17"/>
      <c r="F121" s="17"/>
      <c r="G121" s="17"/>
      <c r="H121" s="17"/>
      <c r="I121" s="14"/>
      <c r="J121" s="14"/>
      <c r="K121" s="14"/>
      <c r="L121" s="14"/>
      <c r="M121" s="34" t="str">
        <f aca="false">IF(COUNT(C121:H121)=0,"",IFERROR(MAX(0,ROUND(IF(Settings!$B$33,IF(H121="",SUM(C121:G121),H121)-SUMPRODUCT(($C$4:$G$4="Y")*C121:G121),SUMPRODUCT(($C$4:$G$4="Y")*C121:G121)),0)),"Check inputs"))</f>
        <v/>
      </c>
      <c r="N121" s="35" t="str">
        <f aca="false">IF(AND(N($M121)&gt;0,UPPER($K121)&lt;&gt;"N"),IF(Settings!$B$28,MAX(0,MIN(Settings!$B$16,IF(I121="",Settings!$B$16,I121)))/Settings!$B$15,1),"")</f>
        <v/>
      </c>
      <c r="O121" s="35" t="str">
        <f aca="false">IF(AND(N($M121)&gt;0,UPPER($K121)&lt;&gt;"N"),IF(Settings!$B$28,MAX(0,MIN(Settings!$B$17,IF(J121="",Settings!$B$17,J121)))/Settings!$B$15,0),"")</f>
        <v/>
      </c>
      <c r="P121" s="34" t="str">
        <f aca="false">IF(N121="","",ROUND(IF(Settings!$B$27,MIN($M121,Settings!$B$29),$M121)*N121,0))</f>
        <v/>
      </c>
      <c r="Q121" s="34" t="str">
        <f aca="false">IF(N121="","",ROUND(IF(Settings!$B$27,MIN($M121,Settings!$B$30),$M121)*O121,0))</f>
        <v/>
      </c>
      <c r="R121" s="34" t="str">
        <f aca="false">IF(N121="","",P121+Q121)</f>
        <v/>
      </c>
      <c r="S121" s="34" t="str">
        <f aca="false">IF(N121="","",ROUND(MIN($M121,Settings!$B$29)*N121,0)+ROUND(MIN($M121,Settings!$B$30)*O121,0))</f>
        <v/>
      </c>
      <c r="T121" s="34" t="str">
        <f aca="false">IF(N121="","",IF(UPPER(L121)="N",0,S121))</f>
        <v/>
      </c>
      <c r="U121" s="25" t="str">
        <f aca="false">IF(N121="","",ROUND(R121*Settings!$B$18,0))</f>
        <v/>
      </c>
      <c r="V121" s="25" t="str">
        <f aca="false">IF(N121="","",ROUND(R121*Settings!$B$19,0)-X121)</f>
        <v/>
      </c>
      <c r="W121" s="25" t="str">
        <f aca="false">IF(N121="","",IF(Settings!$B$31,ROUND(R121*Settings!$B$22,0),0))</f>
        <v/>
      </c>
      <c r="X121" s="25" t="str">
        <f aca="false">IF(N121="","",MIN(ROUND(T121*Settings!$B$20,0),ROUND(R121*Settings!$B$19,0)))</f>
        <v/>
      </c>
      <c r="Y121" s="25" t="str">
        <f aca="false">IF(N121="","",IF(Settings!$B$31,ROUND(S121*Settings!$B$21,0),0))</f>
        <v/>
      </c>
      <c r="Z121" s="25" t="str">
        <f aca="false">IF(N121="","",U121+V121+X121+W121+Y121)</f>
        <v/>
      </c>
      <c r="AA121" s="7" t="str">
        <f aca="false">IF(COUNT(C121:H121)=0,"",TRIM(IF(UPPER(K121)="N","Not a PF member, skipped. ","")&amp;IF(AND(UPPER(K121)&lt;&gt;"N",N(M121)&lt;=0),"PF wage is zero, skipped. ","")&amp;IF(AND(UPPER(K121)&lt;&gt;"N",N(M121)&gt;0,UPPER(L121)="N"),"Pension not applicable, whole 12% goes to EPF. ","")&amp;IF(AND(ISNUMBER(H121),ABS(SUM(C121:G121)-N(H121))&gt;1),"Heads in the file add up to "&amp;SUM(C121:G121)&amp;", Gross is "&amp;H121&amp;" (a pay head may be missing). ","")&amp;IF(AND(Settings!$B$32,N(H121)&gt;0,ISNUMBER(M121),N(M121)&lt;H121*0.5-0.5),"50% check: PF wage is "&amp;TEXT(M121/H121,"0%")&amp;" of gross. ","")&amp;IF(AND(N(M121)&gt;0,UPPER(K121)&lt;&gt;"N",N(N121)+N(O121)=0),"No days to count. ","")))</f>
        <v/>
      </c>
    </row>
    <row r="122" customFormat="false" ht="15" hidden="false" customHeight="false" outlineLevel="0" collapsed="false">
      <c r="A122" s="14"/>
      <c r="B122" s="14"/>
      <c r="C122" s="17"/>
      <c r="D122" s="17"/>
      <c r="E122" s="17"/>
      <c r="F122" s="17"/>
      <c r="G122" s="17"/>
      <c r="H122" s="17"/>
      <c r="I122" s="14"/>
      <c r="J122" s="14"/>
      <c r="K122" s="14"/>
      <c r="L122" s="14"/>
      <c r="M122" s="34" t="str">
        <f aca="false">IF(COUNT(C122:H122)=0,"",IFERROR(MAX(0,ROUND(IF(Settings!$B$33,IF(H122="",SUM(C122:G122),H122)-SUMPRODUCT(($C$4:$G$4="Y")*C122:G122),SUMPRODUCT(($C$4:$G$4="Y")*C122:G122)),0)),"Check inputs"))</f>
        <v/>
      </c>
      <c r="N122" s="35" t="str">
        <f aca="false">IF(AND(N($M122)&gt;0,UPPER($K122)&lt;&gt;"N"),IF(Settings!$B$28,MAX(0,MIN(Settings!$B$16,IF(I122="",Settings!$B$16,I122)))/Settings!$B$15,1),"")</f>
        <v/>
      </c>
      <c r="O122" s="35" t="str">
        <f aca="false">IF(AND(N($M122)&gt;0,UPPER($K122)&lt;&gt;"N"),IF(Settings!$B$28,MAX(0,MIN(Settings!$B$17,IF(J122="",Settings!$B$17,J122)))/Settings!$B$15,0),"")</f>
        <v/>
      </c>
      <c r="P122" s="34" t="str">
        <f aca="false">IF(N122="","",ROUND(IF(Settings!$B$27,MIN($M122,Settings!$B$29),$M122)*N122,0))</f>
        <v/>
      </c>
      <c r="Q122" s="34" t="str">
        <f aca="false">IF(N122="","",ROUND(IF(Settings!$B$27,MIN($M122,Settings!$B$30),$M122)*O122,0))</f>
        <v/>
      </c>
      <c r="R122" s="34" t="str">
        <f aca="false">IF(N122="","",P122+Q122)</f>
        <v/>
      </c>
      <c r="S122" s="34" t="str">
        <f aca="false">IF(N122="","",ROUND(MIN($M122,Settings!$B$29)*N122,0)+ROUND(MIN($M122,Settings!$B$30)*O122,0))</f>
        <v/>
      </c>
      <c r="T122" s="34" t="str">
        <f aca="false">IF(N122="","",IF(UPPER(L122)="N",0,S122))</f>
        <v/>
      </c>
      <c r="U122" s="25" t="str">
        <f aca="false">IF(N122="","",ROUND(R122*Settings!$B$18,0))</f>
        <v/>
      </c>
      <c r="V122" s="25" t="str">
        <f aca="false">IF(N122="","",ROUND(R122*Settings!$B$19,0)-X122)</f>
        <v/>
      </c>
      <c r="W122" s="25" t="str">
        <f aca="false">IF(N122="","",IF(Settings!$B$31,ROUND(R122*Settings!$B$22,0),0))</f>
        <v/>
      </c>
      <c r="X122" s="25" t="str">
        <f aca="false">IF(N122="","",MIN(ROUND(T122*Settings!$B$20,0),ROUND(R122*Settings!$B$19,0)))</f>
        <v/>
      </c>
      <c r="Y122" s="25" t="str">
        <f aca="false">IF(N122="","",IF(Settings!$B$31,ROUND(S122*Settings!$B$21,0),0))</f>
        <v/>
      </c>
      <c r="Z122" s="25" t="str">
        <f aca="false">IF(N122="","",U122+V122+X122+W122+Y122)</f>
        <v/>
      </c>
      <c r="AA122" s="7" t="str">
        <f aca="false">IF(COUNT(C122:H122)=0,"",TRIM(IF(UPPER(K122)="N","Not a PF member, skipped. ","")&amp;IF(AND(UPPER(K122)&lt;&gt;"N",N(M122)&lt;=0),"PF wage is zero, skipped. ","")&amp;IF(AND(UPPER(K122)&lt;&gt;"N",N(M122)&gt;0,UPPER(L122)="N"),"Pension not applicable, whole 12% goes to EPF. ","")&amp;IF(AND(ISNUMBER(H122),ABS(SUM(C122:G122)-N(H122))&gt;1),"Heads in the file add up to "&amp;SUM(C122:G122)&amp;", Gross is "&amp;H122&amp;" (a pay head may be missing). ","")&amp;IF(AND(Settings!$B$32,N(H122)&gt;0,ISNUMBER(M122),N(M122)&lt;H122*0.5-0.5),"50% check: PF wage is "&amp;TEXT(M122/H122,"0%")&amp;" of gross. ","")&amp;IF(AND(N(M122)&gt;0,UPPER(K122)&lt;&gt;"N",N(N122)+N(O122)=0),"No days to count. ","")))</f>
        <v/>
      </c>
    </row>
    <row r="123" customFormat="false" ht="15" hidden="false" customHeight="false" outlineLevel="0" collapsed="false">
      <c r="A123" s="14"/>
      <c r="B123" s="14"/>
      <c r="C123" s="17"/>
      <c r="D123" s="17"/>
      <c r="E123" s="17"/>
      <c r="F123" s="17"/>
      <c r="G123" s="17"/>
      <c r="H123" s="17"/>
      <c r="I123" s="14"/>
      <c r="J123" s="14"/>
      <c r="K123" s="14"/>
      <c r="L123" s="14"/>
      <c r="M123" s="34" t="str">
        <f aca="false">IF(COUNT(C123:H123)=0,"",IFERROR(MAX(0,ROUND(IF(Settings!$B$33,IF(H123="",SUM(C123:G123),H123)-SUMPRODUCT(($C$4:$G$4="Y")*C123:G123),SUMPRODUCT(($C$4:$G$4="Y")*C123:G123)),0)),"Check inputs"))</f>
        <v/>
      </c>
      <c r="N123" s="35" t="str">
        <f aca="false">IF(AND(N($M123)&gt;0,UPPER($K123)&lt;&gt;"N"),IF(Settings!$B$28,MAX(0,MIN(Settings!$B$16,IF(I123="",Settings!$B$16,I123)))/Settings!$B$15,1),"")</f>
        <v/>
      </c>
      <c r="O123" s="35" t="str">
        <f aca="false">IF(AND(N($M123)&gt;0,UPPER($K123)&lt;&gt;"N"),IF(Settings!$B$28,MAX(0,MIN(Settings!$B$17,IF(J123="",Settings!$B$17,J123)))/Settings!$B$15,0),"")</f>
        <v/>
      </c>
      <c r="P123" s="34" t="str">
        <f aca="false">IF(N123="","",ROUND(IF(Settings!$B$27,MIN($M123,Settings!$B$29),$M123)*N123,0))</f>
        <v/>
      </c>
      <c r="Q123" s="34" t="str">
        <f aca="false">IF(N123="","",ROUND(IF(Settings!$B$27,MIN($M123,Settings!$B$30),$M123)*O123,0))</f>
        <v/>
      </c>
      <c r="R123" s="34" t="str">
        <f aca="false">IF(N123="","",P123+Q123)</f>
        <v/>
      </c>
      <c r="S123" s="34" t="str">
        <f aca="false">IF(N123="","",ROUND(MIN($M123,Settings!$B$29)*N123,0)+ROUND(MIN($M123,Settings!$B$30)*O123,0))</f>
        <v/>
      </c>
      <c r="T123" s="34" t="str">
        <f aca="false">IF(N123="","",IF(UPPER(L123)="N",0,S123))</f>
        <v/>
      </c>
      <c r="U123" s="25" t="str">
        <f aca="false">IF(N123="","",ROUND(R123*Settings!$B$18,0))</f>
        <v/>
      </c>
      <c r="V123" s="25" t="str">
        <f aca="false">IF(N123="","",ROUND(R123*Settings!$B$19,0)-X123)</f>
        <v/>
      </c>
      <c r="W123" s="25" t="str">
        <f aca="false">IF(N123="","",IF(Settings!$B$31,ROUND(R123*Settings!$B$22,0),0))</f>
        <v/>
      </c>
      <c r="X123" s="25" t="str">
        <f aca="false">IF(N123="","",MIN(ROUND(T123*Settings!$B$20,0),ROUND(R123*Settings!$B$19,0)))</f>
        <v/>
      </c>
      <c r="Y123" s="25" t="str">
        <f aca="false">IF(N123="","",IF(Settings!$B$31,ROUND(S123*Settings!$B$21,0),0))</f>
        <v/>
      </c>
      <c r="Z123" s="25" t="str">
        <f aca="false">IF(N123="","",U123+V123+X123+W123+Y123)</f>
        <v/>
      </c>
      <c r="AA123" s="7" t="str">
        <f aca="false">IF(COUNT(C123:H123)=0,"",TRIM(IF(UPPER(K123)="N","Not a PF member, skipped. ","")&amp;IF(AND(UPPER(K123)&lt;&gt;"N",N(M123)&lt;=0),"PF wage is zero, skipped. ","")&amp;IF(AND(UPPER(K123)&lt;&gt;"N",N(M123)&gt;0,UPPER(L123)="N"),"Pension not applicable, whole 12% goes to EPF. ","")&amp;IF(AND(ISNUMBER(H123),ABS(SUM(C123:G123)-N(H123))&gt;1),"Heads in the file add up to "&amp;SUM(C123:G123)&amp;", Gross is "&amp;H123&amp;" (a pay head may be missing). ","")&amp;IF(AND(Settings!$B$32,N(H123)&gt;0,ISNUMBER(M123),N(M123)&lt;H123*0.5-0.5),"50% check: PF wage is "&amp;TEXT(M123/H123,"0%")&amp;" of gross. ","")&amp;IF(AND(N(M123)&gt;0,UPPER(K123)&lt;&gt;"N",N(N123)+N(O123)=0),"No days to count. ","")))</f>
        <v/>
      </c>
    </row>
    <row r="124" customFormat="false" ht="15" hidden="false" customHeight="false" outlineLevel="0" collapsed="false">
      <c r="A124" s="14"/>
      <c r="B124" s="14"/>
      <c r="C124" s="17"/>
      <c r="D124" s="17"/>
      <c r="E124" s="17"/>
      <c r="F124" s="17"/>
      <c r="G124" s="17"/>
      <c r="H124" s="17"/>
      <c r="I124" s="14"/>
      <c r="J124" s="14"/>
      <c r="K124" s="14"/>
      <c r="L124" s="14"/>
      <c r="M124" s="34" t="str">
        <f aca="false">IF(COUNT(C124:H124)=0,"",IFERROR(MAX(0,ROUND(IF(Settings!$B$33,IF(H124="",SUM(C124:G124),H124)-SUMPRODUCT(($C$4:$G$4="Y")*C124:G124),SUMPRODUCT(($C$4:$G$4="Y")*C124:G124)),0)),"Check inputs"))</f>
        <v/>
      </c>
      <c r="N124" s="35" t="str">
        <f aca="false">IF(AND(N($M124)&gt;0,UPPER($K124)&lt;&gt;"N"),IF(Settings!$B$28,MAX(0,MIN(Settings!$B$16,IF(I124="",Settings!$B$16,I124)))/Settings!$B$15,1),"")</f>
        <v/>
      </c>
      <c r="O124" s="35" t="str">
        <f aca="false">IF(AND(N($M124)&gt;0,UPPER($K124)&lt;&gt;"N"),IF(Settings!$B$28,MAX(0,MIN(Settings!$B$17,IF(J124="",Settings!$B$17,J124)))/Settings!$B$15,0),"")</f>
        <v/>
      </c>
      <c r="P124" s="34" t="str">
        <f aca="false">IF(N124="","",ROUND(IF(Settings!$B$27,MIN($M124,Settings!$B$29),$M124)*N124,0))</f>
        <v/>
      </c>
      <c r="Q124" s="34" t="str">
        <f aca="false">IF(N124="","",ROUND(IF(Settings!$B$27,MIN($M124,Settings!$B$30),$M124)*O124,0))</f>
        <v/>
      </c>
      <c r="R124" s="34" t="str">
        <f aca="false">IF(N124="","",P124+Q124)</f>
        <v/>
      </c>
      <c r="S124" s="34" t="str">
        <f aca="false">IF(N124="","",ROUND(MIN($M124,Settings!$B$29)*N124,0)+ROUND(MIN($M124,Settings!$B$30)*O124,0))</f>
        <v/>
      </c>
      <c r="T124" s="34" t="str">
        <f aca="false">IF(N124="","",IF(UPPER(L124)="N",0,S124))</f>
        <v/>
      </c>
      <c r="U124" s="25" t="str">
        <f aca="false">IF(N124="","",ROUND(R124*Settings!$B$18,0))</f>
        <v/>
      </c>
      <c r="V124" s="25" t="str">
        <f aca="false">IF(N124="","",ROUND(R124*Settings!$B$19,0)-X124)</f>
        <v/>
      </c>
      <c r="W124" s="25" t="str">
        <f aca="false">IF(N124="","",IF(Settings!$B$31,ROUND(R124*Settings!$B$22,0),0))</f>
        <v/>
      </c>
      <c r="X124" s="25" t="str">
        <f aca="false">IF(N124="","",MIN(ROUND(T124*Settings!$B$20,0),ROUND(R124*Settings!$B$19,0)))</f>
        <v/>
      </c>
      <c r="Y124" s="25" t="str">
        <f aca="false">IF(N124="","",IF(Settings!$B$31,ROUND(S124*Settings!$B$21,0),0))</f>
        <v/>
      </c>
      <c r="Z124" s="25" t="str">
        <f aca="false">IF(N124="","",U124+V124+X124+W124+Y124)</f>
        <v/>
      </c>
      <c r="AA124" s="7" t="str">
        <f aca="false">IF(COUNT(C124:H124)=0,"",TRIM(IF(UPPER(K124)="N","Not a PF member, skipped. ","")&amp;IF(AND(UPPER(K124)&lt;&gt;"N",N(M124)&lt;=0),"PF wage is zero, skipped. ","")&amp;IF(AND(UPPER(K124)&lt;&gt;"N",N(M124)&gt;0,UPPER(L124)="N"),"Pension not applicable, whole 12% goes to EPF. ","")&amp;IF(AND(ISNUMBER(H124),ABS(SUM(C124:G124)-N(H124))&gt;1),"Heads in the file add up to "&amp;SUM(C124:G124)&amp;", Gross is "&amp;H124&amp;" (a pay head may be missing). ","")&amp;IF(AND(Settings!$B$32,N(H124)&gt;0,ISNUMBER(M124),N(M124)&lt;H124*0.5-0.5),"50% check: PF wage is "&amp;TEXT(M124/H124,"0%")&amp;" of gross. ","")&amp;IF(AND(N(M124)&gt;0,UPPER(K124)&lt;&gt;"N",N(N124)+N(O124)=0),"No days to count. ","")))</f>
        <v/>
      </c>
    </row>
    <row r="125" customFormat="false" ht="15" hidden="false" customHeight="false" outlineLevel="0" collapsed="false">
      <c r="A125" s="14"/>
      <c r="B125" s="14"/>
      <c r="C125" s="17"/>
      <c r="D125" s="17"/>
      <c r="E125" s="17"/>
      <c r="F125" s="17"/>
      <c r="G125" s="17"/>
      <c r="H125" s="17"/>
      <c r="I125" s="14"/>
      <c r="J125" s="14"/>
      <c r="K125" s="14"/>
      <c r="L125" s="14"/>
      <c r="M125" s="34" t="str">
        <f aca="false">IF(COUNT(C125:H125)=0,"",IFERROR(MAX(0,ROUND(IF(Settings!$B$33,IF(H125="",SUM(C125:G125),H125)-SUMPRODUCT(($C$4:$G$4="Y")*C125:G125),SUMPRODUCT(($C$4:$G$4="Y")*C125:G125)),0)),"Check inputs"))</f>
        <v/>
      </c>
      <c r="N125" s="35" t="str">
        <f aca="false">IF(AND(N($M125)&gt;0,UPPER($K125)&lt;&gt;"N"),IF(Settings!$B$28,MAX(0,MIN(Settings!$B$16,IF(I125="",Settings!$B$16,I125)))/Settings!$B$15,1),"")</f>
        <v/>
      </c>
      <c r="O125" s="35" t="str">
        <f aca="false">IF(AND(N($M125)&gt;0,UPPER($K125)&lt;&gt;"N"),IF(Settings!$B$28,MAX(0,MIN(Settings!$B$17,IF(J125="",Settings!$B$17,J125)))/Settings!$B$15,0),"")</f>
        <v/>
      </c>
      <c r="P125" s="34" t="str">
        <f aca="false">IF(N125="","",ROUND(IF(Settings!$B$27,MIN($M125,Settings!$B$29),$M125)*N125,0))</f>
        <v/>
      </c>
      <c r="Q125" s="34" t="str">
        <f aca="false">IF(N125="","",ROUND(IF(Settings!$B$27,MIN($M125,Settings!$B$30),$M125)*O125,0))</f>
        <v/>
      </c>
      <c r="R125" s="34" t="str">
        <f aca="false">IF(N125="","",P125+Q125)</f>
        <v/>
      </c>
      <c r="S125" s="34" t="str">
        <f aca="false">IF(N125="","",ROUND(MIN($M125,Settings!$B$29)*N125,0)+ROUND(MIN($M125,Settings!$B$30)*O125,0))</f>
        <v/>
      </c>
      <c r="T125" s="34" t="str">
        <f aca="false">IF(N125="","",IF(UPPER(L125)="N",0,S125))</f>
        <v/>
      </c>
      <c r="U125" s="25" t="str">
        <f aca="false">IF(N125="","",ROUND(R125*Settings!$B$18,0))</f>
        <v/>
      </c>
      <c r="V125" s="25" t="str">
        <f aca="false">IF(N125="","",ROUND(R125*Settings!$B$19,0)-X125)</f>
        <v/>
      </c>
      <c r="W125" s="25" t="str">
        <f aca="false">IF(N125="","",IF(Settings!$B$31,ROUND(R125*Settings!$B$22,0),0))</f>
        <v/>
      </c>
      <c r="X125" s="25" t="str">
        <f aca="false">IF(N125="","",MIN(ROUND(T125*Settings!$B$20,0),ROUND(R125*Settings!$B$19,0)))</f>
        <v/>
      </c>
      <c r="Y125" s="25" t="str">
        <f aca="false">IF(N125="","",IF(Settings!$B$31,ROUND(S125*Settings!$B$21,0),0))</f>
        <v/>
      </c>
      <c r="Z125" s="25" t="str">
        <f aca="false">IF(N125="","",U125+V125+X125+W125+Y125)</f>
        <v/>
      </c>
      <c r="AA125" s="7" t="str">
        <f aca="false">IF(COUNT(C125:H125)=0,"",TRIM(IF(UPPER(K125)="N","Not a PF member, skipped. ","")&amp;IF(AND(UPPER(K125)&lt;&gt;"N",N(M125)&lt;=0),"PF wage is zero, skipped. ","")&amp;IF(AND(UPPER(K125)&lt;&gt;"N",N(M125)&gt;0,UPPER(L125)="N"),"Pension not applicable, whole 12% goes to EPF. ","")&amp;IF(AND(ISNUMBER(H125),ABS(SUM(C125:G125)-N(H125))&gt;1),"Heads in the file add up to "&amp;SUM(C125:G125)&amp;", Gross is "&amp;H125&amp;" (a pay head may be missing). ","")&amp;IF(AND(Settings!$B$32,N(H125)&gt;0,ISNUMBER(M125),N(M125)&lt;H125*0.5-0.5),"50% check: PF wage is "&amp;TEXT(M125/H125,"0%")&amp;" of gross. ","")&amp;IF(AND(N(M125)&gt;0,UPPER(K125)&lt;&gt;"N",N(N125)+N(O125)=0),"No days to count. ","")))</f>
        <v/>
      </c>
    </row>
    <row r="126" customFormat="false" ht="15" hidden="false" customHeight="false" outlineLevel="0" collapsed="false">
      <c r="A126" s="14"/>
      <c r="B126" s="14"/>
      <c r="C126" s="17"/>
      <c r="D126" s="17"/>
      <c r="E126" s="17"/>
      <c r="F126" s="17"/>
      <c r="G126" s="17"/>
      <c r="H126" s="17"/>
      <c r="I126" s="14"/>
      <c r="J126" s="14"/>
      <c r="K126" s="14"/>
      <c r="L126" s="14"/>
      <c r="M126" s="34" t="str">
        <f aca="false">IF(COUNT(C126:H126)=0,"",IFERROR(MAX(0,ROUND(IF(Settings!$B$33,IF(H126="",SUM(C126:G126),H126)-SUMPRODUCT(($C$4:$G$4="Y")*C126:G126),SUMPRODUCT(($C$4:$G$4="Y")*C126:G126)),0)),"Check inputs"))</f>
        <v/>
      </c>
      <c r="N126" s="35" t="str">
        <f aca="false">IF(AND(N($M126)&gt;0,UPPER($K126)&lt;&gt;"N"),IF(Settings!$B$28,MAX(0,MIN(Settings!$B$16,IF(I126="",Settings!$B$16,I126)))/Settings!$B$15,1),"")</f>
        <v/>
      </c>
      <c r="O126" s="35" t="str">
        <f aca="false">IF(AND(N($M126)&gt;0,UPPER($K126)&lt;&gt;"N"),IF(Settings!$B$28,MAX(0,MIN(Settings!$B$17,IF(J126="",Settings!$B$17,J126)))/Settings!$B$15,0),"")</f>
        <v/>
      </c>
      <c r="P126" s="34" t="str">
        <f aca="false">IF(N126="","",ROUND(IF(Settings!$B$27,MIN($M126,Settings!$B$29),$M126)*N126,0))</f>
        <v/>
      </c>
      <c r="Q126" s="34" t="str">
        <f aca="false">IF(N126="","",ROUND(IF(Settings!$B$27,MIN($M126,Settings!$B$30),$M126)*O126,0))</f>
        <v/>
      </c>
      <c r="R126" s="34" t="str">
        <f aca="false">IF(N126="","",P126+Q126)</f>
        <v/>
      </c>
      <c r="S126" s="34" t="str">
        <f aca="false">IF(N126="","",ROUND(MIN($M126,Settings!$B$29)*N126,0)+ROUND(MIN($M126,Settings!$B$30)*O126,0))</f>
        <v/>
      </c>
      <c r="T126" s="34" t="str">
        <f aca="false">IF(N126="","",IF(UPPER(L126)="N",0,S126))</f>
        <v/>
      </c>
      <c r="U126" s="25" t="str">
        <f aca="false">IF(N126="","",ROUND(R126*Settings!$B$18,0))</f>
        <v/>
      </c>
      <c r="V126" s="25" t="str">
        <f aca="false">IF(N126="","",ROUND(R126*Settings!$B$19,0)-X126)</f>
        <v/>
      </c>
      <c r="W126" s="25" t="str">
        <f aca="false">IF(N126="","",IF(Settings!$B$31,ROUND(R126*Settings!$B$22,0),0))</f>
        <v/>
      </c>
      <c r="X126" s="25" t="str">
        <f aca="false">IF(N126="","",MIN(ROUND(T126*Settings!$B$20,0),ROUND(R126*Settings!$B$19,0)))</f>
        <v/>
      </c>
      <c r="Y126" s="25" t="str">
        <f aca="false">IF(N126="","",IF(Settings!$B$31,ROUND(S126*Settings!$B$21,0),0))</f>
        <v/>
      </c>
      <c r="Z126" s="25" t="str">
        <f aca="false">IF(N126="","",U126+V126+X126+W126+Y126)</f>
        <v/>
      </c>
      <c r="AA126" s="7" t="str">
        <f aca="false">IF(COUNT(C126:H126)=0,"",TRIM(IF(UPPER(K126)="N","Not a PF member, skipped. ","")&amp;IF(AND(UPPER(K126)&lt;&gt;"N",N(M126)&lt;=0),"PF wage is zero, skipped. ","")&amp;IF(AND(UPPER(K126)&lt;&gt;"N",N(M126)&gt;0,UPPER(L126)="N"),"Pension not applicable, whole 12% goes to EPF. ","")&amp;IF(AND(ISNUMBER(H126),ABS(SUM(C126:G126)-N(H126))&gt;1),"Heads in the file add up to "&amp;SUM(C126:G126)&amp;", Gross is "&amp;H126&amp;" (a pay head may be missing). ","")&amp;IF(AND(Settings!$B$32,N(H126)&gt;0,ISNUMBER(M126),N(M126)&lt;H126*0.5-0.5),"50% check: PF wage is "&amp;TEXT(M126/H126,"0%")&amp;" of gross. ","")&amp;IF(AND(N(M126)&gt;0,UPPER(K126)&lt;&gt;"N",N(N126)+N(O126)=0),"No days to count. ","")))</f>
        <v/>
      </c>
    </row>
    <row r="127" customFormat="false" ht="15" hidden="false" customHeight="false" outlineLevel="0" collapsed="false">
      <c r="A127" s="14"/>
      <c r="B127" s="14"/>
      <c r="C127" s="17"/>
      <c r="D127" s="17"/>
      <c r="E127" s="17"/>
      <c r="F127" s="17"/>
      <c r="G127" s="17"/>
      <c r="H127" s="17"/>
      <c r="I127" s="14"/>
      <c r="J127" s="14"/>
      <c r="K127" s="14"/>
      <c r="L127" s="14"/>
      <c r="M127" s="34" t="str">
        <f aca="false">IF(COUNT(C127:H127)=0,"",IFERROR(MAX(0,ROUND(IF(Settings!$B$33,IF(H127="",SUM(C127:G127),H127)-SUMPRODUCT(($C$4:$G$4="Y")*C127:G127),SUMPRODUCT(($C$4:$G$4="Y")*C127:G127)),0)),"Check inputs"))</f>
        <v/>
      </c>
      <c r="N127" s="35" t="str">
        <f aca="false">IF(AND(N($M127)&gt;0,UPPER($K127)&lt;&gt;"N"),IF(Settings!$B$28,MAX(0,MIN(Settings!$B$16,IF(I127="",Settings!$B$16,I127)))/Settings!$B$15,1),"")</f>
        <v/>
      </c>
      <c r="O127" s="35" t="str">
        <f aca="false">IF(AND(N($M127)&gt;0,UPPER($K127)&lt;&gt;"N"),IF(Settings!$B$28,MAX(0,MIN(Settings!$B$17,IF(J127="",Settings!$B$17,J127)))/Settings!$B$15,0),"")</f>
        <v/>
      </c>
      <c r="P127" s="34" t="str">
        <f aca="false">IF(N127="","",ROUND(IF(Settings!$B$27,MIN($M127,Settings!$B$29),$M127)*N127,0))</f>
        <v/>
      </c>
      <c r="Q127" s="34" t="str">
        <f aca="false">IF(N127="","",ROUND(IF(Settings!$B$27,MIN($M127,Settings!$B$30),$M127)*O127,0))</f>
        <v/>
      </c>
      <c r="R127" s="34" t="str">
        <f aca="false">IF(N127="","",P127+Q127)</f>
        <v/>
      </c>
      <c r="S127" s="34" t="str">
        <f aca="false">IF(N127="","",ROUND(MIN($M127,Settings!$B$29)*N127,0)+ROUND(MIN($M127,Settings!$B$30)*O127,0))</f>
        <v/>
      </c>
      <c r="T127" s="34" t="str">
        <f aca="false">IF(N127="","",IF(UPPER(L127)="N",0,S127))</f>
        <v/>
      </c>
      <c r="U127" s="25" t="str">
        <f aca="false">IF(N127="","",ROUND(R127*Settings!$B$18,0))</f>
        <v/>
      </c>
      <c r="V127" s="25" t="str">
        <f aca="false">IF(N127="","",ROUND(R127*Settings!$B$19,0)-X127)</f>
        <v/>
      </c>
      <c r="W127" s="25" t="str">
        <f aca="false">IF(N127="","",IF(Settings!$B$31,ROUND(R127*Settings!$B$22,0),0))</f>
        <v/>
      </c>
      <c r="X127" s="25" t="str">
        <f aca="false">IF(N127="","",MIN(ROUND(T127*Settings!$B$20,0),ROUND(R127*Settings!$B$19,0)))</f>
        <v/>
      </c>
      <c r="Y127" s="25" t="str">
        <f aca="false">IF(N127="","",IF(Settings!$B$31,ROUND(S127*Settings!$B$21,0),0))</f>
        <v/>
      </c>
      <c r="Z127" s="25" t="str">
        <f aca="false">IF(N127="","",U127+V127+X127+W127+Y127)</f>
        <v/>
      </c>
      <c r="AA127" s="7" t="str">
        <f aca="false">IF(COUNT(C127:H127)=0,"",TRIM(IF(UPPER(K127)="N","Not a PF member, skipped. ","")&amp;IF(AND(UPPER(K127)&lt;&gt;"N",N(M127)&lt;=0),"PF wage is zero, skipped. ","")&amp;IF(AND(UPPER(K127)&lt;&gt;"N",N(M127)&gt;0,UPPER(L127)="N"),"Pension not applicable, whole 12% goes to EPF. ","")&amp;IF(AND(ISNUMBER(H127),ABS(SUM(C127:G127)-N(H127))&gt;1),"Heads in the file add up to "&amp;SUM(C127:G127)&amp;", Gross is "&amp;H127&amp;" (a pay head may be missing). ","")&amp;IF(AND(Settings!$B$32,N(H127)&gt;0,ISNUMBER(M127),N(M127)&lt;H127*0.5-0.5),"50% check: PF wage is "&amp;TEXT(M127/H127,"0%")&amp;" of gross. ","")&amp;IF(AND(N(M127)&gt;0,UPPER(K127)&lt;&gt;"N",N(N127)+N(O127)=0),"No days to count. ","")))</f>
        <v/>
      </c>
    </row>
    <row r="128" customFormat="false" ht="15" hidden="false" customHeight="false" outlineLevel="0" collapsed="false">
      <c r="A128" s="14"/>
      <c r="B128" s="14"/>
      <c r="C128" s="17"/>
      <c r="D128" s="17"/>
      <c r="E128" s="17"/>
      <c r="F128" s="17"/>
      <c r="G128" s="17"/>
      <c r="H128" s="17"/>
      <c r="I128" s="14"/>
      <c r="J128" s="14"/>
      <c r="K128" s="14"/>
      <c r="L128" s="14"/>
      <c r="M128" s="34" t="str">
        <f aca="false">IF(COUNT(C128:H128)=0,"",IFERROR(MAX(0,ROUND(IF(Settings!$B$33,IF(H128="",SUM(C128:G128),H128)-SUMPRODUCT(($C$4:$G$4="Y")*C128:G128),SUMPRODUCT(($C$4:$G$4="Y")*C128:G128)),0)),"Check inputs"))</f>
        <v/>
      </c>
      <c r="N128" s="35" t="str">
        <f aca="false">IF(AND(N($M128)&gt;0,UPPER($K128)&lt;&gt;"N"),IF(Settings!$B$28,MAX(0,MIN(Settings!$B$16,IF(I128="",Settings!$B$16,I128)))/Settings!$B$15,1),"")</f>
        <v/>
      </c>
      <c r="O128" s="35" t="str">
        <f aca="false">IF(AND(N($M128)&gt;0,UPPER($K128)&lt;&gt;"N"),IF(Settings!$B$28,MAX(0,MIN(Settings!$B$17,IF(J128="",Settings!$B$17,J128)))/Settings!$B$15,0),"")</f>
        <v/>
      </c>
      <c r="P128" s="34" t="str">
        <f aca="false">IF(N128="","",ROUND(IF(Settings!$B$27,MIN($M128,Settings!$B$29),$M128)*N128,0))</f>
        <v/>
      </c>
      <c r="Q128" s="34" t="str">
        <f aca="false">IF(N128="","",ROUND(IF(Settings!$B$27,MIN($M128,Settings!$B$30),$M128)*O128,0))</f>
        <v/>
      </c>
      <c r="R128" s="34" t="str">
        <f aca="false">IF(N128="","",P128+Q128)</f>
        <v/>
      </c>
      <c r="S128" s="34" t="str">
        <f aca="false">IF(N128="","",ROUND(MIN($M128,Settings!$B$29)*N128,0)+ROUND(MIN($M128,Settings!$B$30)*O128,0))</f>
        <v/>
      </c>
      <c r="T128" s="34" t="str">
        <f aca="false">IF(N128="","",IF(UPPER(L128)="N",0,S128))</f>
        <v/>
      </c>
      <c r="U128" s="25" t="str">
        <f aca="false">IF(N128="","",ROUND(R128*Settings!$B$18,0))</f>
        <v/>
      </c>
      <c r="V128" s="25" t="str">
        <f aca="false">IF(N128="","",ROUND(R128*Settings!$B$19,0)-X128)</f>
        <v/>
      </c>
      <c r="W128" s="25" t="str">
        <f aca="false">IF(N128="","",IF(Settings!$B$31,ROUND(R128*Settings!$B$22,0),0))</f>
        <v/>
      </c>
      <c r="X128" s="25" t="str">
        <f aca="false">IF(N128="","",MIN(ROUND(T128*Settings!$B$20,0),ROUND(R128*Settings!$B$19,0)))</f>
        <v/>
      </c>
      <c r="Y128" s="25" t="str">
        <f aca="false">IF(N128="","",IF(Settings!$B$31,ROUND(S128*Settings!$B$21,0),0))</f>
        <v/>
      </c>
      <c r="Z128" s="25" t="str">
        <f aca="false">IF(N128="","",U128+V128+X128+W128+Y128)</f>
        <v/>
      </c>
      <c r="AA128" s="7" t="str">
        <f aca="false">IF(COUNT(C128:H128)=0,"",TRIM(IF(UPPER(K128)="N","Not a PF member, skipped. ","")&amp;IF(AND(UPPER(K128)&lt;&gt;"N",N(M128)&lt;=0),"PF wage is zero, skipped. ","")&amp;IF(AND(UPPER(K128)&lt;&gt;"N",N(M128)&gt;0,UPPER(L128)="N"),"Pension not applicable, whole 12% goes to EPF. ","")&amp;IF(AND(ISNUMBER(H128),ABS(SUM(C128:G128)-N(H128))&gt;1),"Heads in the file add up to "&amp;SUM(C128:G128)&amp;", Gross is "&amp;H128&amp;" (a pay head may be missing). ","")&amp;IF(AND(Settings!$B$32,N(H128)&gt;0,ISNUMBER(M128),N(M128)&lt;H128*0.5-0.5),"50% check: PF wage is "&amp;TEXT(M128/H128,"0%")&amp;" of gross. ","")&amp;IF(AND(N(M128)&gt;0,UPPER(K128)&lt;&gt;"N",N(N128)+N(O128)=0),"No days to count. ","")))</f>
        <v/>
      </c>
    </row>
    <row r="129" customFormat="false" ht="15" hidden="false" customHeight="false" outlineLevel="0" collapsed="false">
      <c r="A129" s="14"/>
      <c r="B129" s="14"/>
      <c r="C129" s="17"/>
      <c r="D129" s="17"/>
      <c r="E129" s="17"/>
      <c r="F129" s="17"/>
      <c r="G129" s="17"/>
      <c r="H129" s="17"/>
      <c r="I129" s="14"/>
      <c r="J129" s="14"/>
      <c r="K129" s="14"/>
      <c r="L129" s="14"/>
      <c r="M129" s="34" t="str">
        <f aca="false">IF(COUNT(C129:H129)=0,"",IFERROR(MAX(0,ROUND(IF(Settings!$B$33,IF(H129="",SUM(C129:G129),H129)-SUMPRODUCT(($C$4:$G$4="Y")*C129:G129),SUMPRODUCT(($C$4:$G$4="Y")*C129:G129)),0)),"Check inputs"))</f>
        <v/>
      </c>
      <c r="N129" s="35" t="str">
        <f aca="false">IF(AND(N($M129)&gt;0,UPPER($K129)&lt;&gt;"N"),IF(Settings!$B$28,MAX(0,MIN(Settings!$B$16,IF(I129="",Settings!$B$16,I129)))/Settings!$B$15,1),"")</f>
        <v/>
      </c>
      <c r="O129" s="35" t="str">
        <f aca="false">IF(AND(N($M129)&gt;0,UPPER($K129)&lt;&gt;"N"),IF(Settings!$B$28,MAX(0,MIN(Settings!$B$17,IF(J129="",Settings!$B$17,J129)))/Settings!$B$15,0),"")</f>
        <v/>
      </c>
      <c r="P129" s="34" t="str">
        <f aca="false">IF(N129="","",ROUND(IF(Settings!$B$27,MIN($M129,Settings!$B$29),$M129)*N129,0))</f>
        <v/>
      </c>
      <c r="Q129" s="34" t="str">
        <f aca="false">IF(N129="","",ROUND(IF(Settings!$B$27,MIN($M129,Settings!$B$30),$M129)*O129,0))</f>
        <v/>
      </c>
      <c r="R129" s="34" t="str">
        <f aca="false">IF(N129="","",P129+Q129)</f>
        <v/>
      </c>
      <c r="S129" s="34" t="str">
        <f aca="false">IF(N129="","",ROUND(MIN($M129,Settings!$B$29)*N129,0)+ROUND(MIN($M129,Settings!$B$30)*O129,0))</f>
        <v/>
      </c>
      <c r="T129" s="34" t="str">
        <f aca="false">IF(N129="","",IF(UPPER(L129)="N",0,S129))</f>
        <v/>
      </c>
      <c r="U129" s="25" t="str">
        <f aca="false">IF(N129="","",ROUND(R129*Settings!$B$18,0))</f>
        <v/>
      </c>
      <c r="V129" s="25" t="str">
        <f aca="false">IF(N129="","",ROUND(R129*Settings!$B$19,0)-X129)</f>
        <v/>
      </c>
      <c r="W129" s="25" t="str">
        <f aca="false">IF(N129="","",IF(Settings!$B$31,ROUND(R129*Settings!$B$22,0),0))</f>
        <v/>
      </c>
      <c r="X129" s="25" t="str">
        <f aca="false">IF(N129="","",MIN(ROUND(T129*Settings!$B$20,0),ROUND(R129*Settings!$B$19,0)))</f>
        <v/>
      </c>
      <c r="Y129" s="25" t="str">
        <f aca="false">IF(N129="","",IF(Settings!$B$31,ROUND(S129*Settings!$B$21,0),0))</f>
        <v/>
      </c>
      <c r="Z129" s="25" t="str">
        <f aca="false">IF(N129="","",U129+V129+X129+W129+Y129)</f>
        <v/>
      </c>
      <c r="AA129" s="7" t="str">
        <f aca="false">IF(COUNT(C129:H129)=0,"",TRIM(IF(UPPER(K129)="N","Not a PF member, skipped. ","")&amp;IF(AND(UPPER(K129)&lt;&gt;"N",N(M129)&lt;=0),"PF wage is zero, skipped. ","")&amp;IF(AND(UPPER(K129)&lt;&gt;"N",N(M129)&gt;0,UPPER(L129)="N"),"Pension not applicable, whole 12% goes to EPF. ","")&amp;IF(AND(ISNUMBER(H129),ABS(SUM(C129:G129)-N(H129))&gt;1),"Heads in the file add up to "&amp;SUM(C129:G129)&amp;", Gross is "&amp;H129&amp;" (a pay head may be missing). ","")&amp;IF(AND(Settings!$B$32,N(H129)&gt;0,ISNUMBER(M129),N(M129)&lt;H129*0.5-0.5),"50% check: PF wage is "&amp;TEXT(M129/H129,"0%")&amp;" of gross. ","")&amp;IF(AND(N(M129)&gt;0,UPPER(K129)&lt;&gt;"N",N(N129)+N(O129)=0),"No days to count. ","")))</f>
        <v/>
      </c>
    </row>
    <row r="130" customFormat="false" ht="15" hidden="false" customHeight="false" outlineLevel="0" collapsed="false">
      <c r="A130" s="14"/>
      <c r="B130" s="14"/>
      <c r="C130" s="17"/>
      <c r="D130" s="17"/>
      <c r="E130" s="17"/>
      <c r="F130" s="17"/>
      <c r="G130" s="17"/>
      <c r="H130" s="17"/>
      <c r="I130" s="14"/>
      <c r="J130" s="14"/>
      <c r="K130" s="14"/>
      <c r="L130" s="14"/>
      <c r="M130" s="34" t="str">
        <f aca="false">IF(COUNT(C130:H130)=0,"",IFERROR(MAX(0,ROUND(IF(Settings!$B$33,IF(H130="",SUM(C130:G130),H130)-SUMPRODUCT(($C$4:$G$4="Y")*C130:G130),SUMPRODUCT(($C$4:$G$4="Y")*C130:G130)),0)),"Check inputs"))</f>
        <v/>
      </c>
      <c r="N130" s="35" t="str">
        <f aca="false">IF(AND(N($M130)&gt;0,UPPER($K130)&lt;&gt;"N"),IF(Settings!$B$28,MAX(0,MIN(Settings!$B$16,IF(I130="",Settings!$B$16,I130)))/Settings!$B$15,1),"")</f>
        <v/>
      </c>
      <c r="O130" s="35" t="str">
        <f aca="false">IF(AND(N($M130)&gt;0,UPPER($K130)&lt;&gt;"N"),IF(Settings!$B$28,MAX(0,MIN(Settings!$B$17,IF(J130="",Settings!$B$17,J130)))/Settings!$B$15,0),"")</f>
        <v/>
      </c>
      <c r="P130" s="34" t="str">
        <f aca="false">IF(N130="","",ROUND(IF(Settings!$B$27,MIN($M130,Settings!$B$29),$M130)*N130,0))</f>
        <v/>
      </c>
      <c r="Q130" s="34" t="str">
        <f aca="false">IF(N130="","",ROUND(IF(Settings!$B$27,MIN($M130,Settings!$B$30),$M130)*O130,0))</f>
        <v/>
      </c>
      <c r="R130" s="34" t="str">
        <f aca="false">IF(N130="","",P130+Q130)</f>
        <v/>
      </c>
      <c r="S130" s="34" t="str">
        <f aca="false">IF(N130="","",ROUND(MIN($M130,Settings!$B$29)*N130,0)+ROUND(MIN($M130,Settings!$B$30)*O130,0))</f>
        <v/>
      </c>
      <c r="T130" s="34" t="str">
        <f aca="false">IF(N130="","",IF(UPPER(L130)="N",0,S130))</f>
        <v/>
      </c>
      <c r="U130" s="25" t="str">
        <f aca="false">IF(N130="","",ROUND(R130*Settings!$B$18,0))</f>
        <v/>
      </c>
      <c r="V130" s="25" t="str">
        <f aca="false">IF(N130="","",ROUND(R130*Settings!$B$19,0)-X130)</f>
        <v/>
      </c>
      <c r="W130" s="25" t="str">
        <f aca="false">IF(N130="","",IF(Settings!$B$31,ROUND(R130*Settings!$B$22,0),0))</f>
        <v/>
      </c>
      <c r="X130" s="25" t="str">
        <f aca="false">IF(N130="","",MIN(ROUND(T130*Settings!$B$20,0),ROUND(R130*Settings!$B$19,0)))</f>
        <v/>
      </c>
      <c r="Y130" s="25" t="str">
        <f aca="false">IF(N130="","",IF(Settings!$B$31,ROUND(S130*Settings!$B$21,0),0))</f>
        <v/>
      </c>
      <c r="Z130" s="25" t="str">
        <f aca="false">IF(N130="","",U130+V130+X130+W130+Y130)</f>
        <v/>
      </c>
      <c r="AA130" s="7" t="str">
        <f aca="false">IF(COUNT(C130:H130)=0,"",TRIM(IF(UPPER(K130)="N","Not a PF member, skipped. ","")&amp;IF(AND(UPPER(K130)&lt;&gt;"N",N(M130)&lt;=0),"PF wage is zero, skipped. ","")&amp;IF(AND(UPPER(K130)&lt;&gt;"N",N(M130)&gt;0,UPPER(L130)="N"),"Pension not applicable, whole 12% goes to EPF. ","")&amp;IF(AND(ISNUMBER(H130),ABS(SUM(C130:G130)-N(H130))&gt;1),"Heads in the file add up to "&amp;SUM(C130:G130)&amp;", Gross is "&amp;H130&amp;" (a pay head may be missing). ","")&amp;IF(AND(Settings!$B$32,N(H130)&gt;0,ISNUMBER(M130),N(M130)&lt;H130*0.5-0.5),"50% check: PF wage is "&amp;TEXT(M130/H130,"0%")&amp;" of gross. ","")&amp;IF(AND(N(M130)&gt;0,UPPER(K130)&lt;&gt;"N",N(N130)+N(O130)=0),"No days to count. ","")))</f>
        <v/>
      </c>
    </row>
    <row r="131" customFormat="false" ht="15" hidden="false" customHeight="false" outlineLevel="0" collapsed="false">
      <c r="A131" s="14"/>
      <c r="B131" s="14"/>
      <c r="C131" s="17"/>
      <c r="D131" s="17"/>
      <c r="E131" s="17"/>
      <c r="F131" s="17"/>
      <c r="G131" s="17"/>
      <c r="H131" s="17"/>
      <c r="I131" s="14"/>
      <c r="J131" s="14"/>
      <c r="K131" s="14"/>
      <c r="L131" s="14"/>
      <c r="M131" s="34" t="str">
        <f aca="false">IF(COUNT(C131:H131)=0,"",IFERROR(MAX(0,ROUND(IF(Settings!$B$33,IF(H131="",SUM(C131:G131),H131)-SUMPRODUCT(($C$4:$G$4="Y")*C131:G131),SUMPRODUCT(($C$4:$G$4="Y")*C131:G131)),0)),"Check inputs"))</f>
        <v/>
      </c>
      <c r="N131" s="35" t="str">
        <f aca="false">IF(AND(N($M131)&gt;0,UPPER($K131)&lt;&gt;"N"),IF(Settings!$B$28,MAX(0,MIN(Settings!$B$16,IF(I131="",Settings!$B$16,I131)))/Settings!$B$15,1),"")</f>
        <v/>
      </c>
      <c r="O131" s="35" t="str">
        <f aca="false">IF(AND(N($M131)&gt;0,UPPER($K131)&lt;&gt;"N"),IF(Settings!$B$28,MAX(0,MIN(Settings!$B$17,IF(J131="",Settings!$B$17,J131)))/Settings!$B$15,0),"")</f>
        <v/>
      </c>
      <c r="P131" s="34" t="str">
        <f aca="false">IF(N131="","",ROUND(IF(Settings!$B$27,MIN($M131,Settings!$B$29),$M131)*N131,0))</f>
        <v/>
      </c>
      <c r="Q131" s="34" t="str">
        <f aca="false">IF(N131="","",ROUND(IF(Settings!$B$27,MIN($M131,Settings!$B$30),$M131)*O131,0))</f>
        <v/>
      </c>
      <c r="R131" s="34" t="str">
        <f aca="false">IF(N131="","",P131+Q131)</f>
        <v/>
      </c>
      <c r="S131" s="34" t="str">
        <f aca="false">IF(N131="","",ROUND(MIN($M131,Settings!$B$29)*N131,0)+ROUND(MIN($M131,Settings!$B$30)*O131,0))</f>
        <v/>
      </c>
      <c r="T131" s="34" t="str">
        <f aca="false">IF(N131="","",IF(UPPER(L131)="N",0,S131))</f>
        <v/>
      </c>
      <c r="U131" s="25" t="str">
        <f aca="false">IF(N131="","",ROUND(R131*Settings!$B$18,0))</f>
        <v/>
      </c>
      <c r="V131" s="25" t="str">
        <f aca="false">IF(N131="","",ROUND(R131*Settings!$B$19,0)-X131)</f>
        <v/>
      </c>
      <c r="W131" s="25" t="str">
        <f aca="false">IF(N131="","",IF(Settings!$B$31,ROUND(R131*Settings!$B$22,0),0))</f>
        <v/>
      </c>
      <c r="X131" s="25" t="str">
        <f aca="false">IF(N131="","",MIN(ROUND(T131*Settings!$B$20,0),ROUND(R131*Settings!$B$19,0)))</f>
        <v/>
      </c>
      <c r="Y131" s="25" t="str">
        <f aca="false">IF(N131="","",IF(Settings!$B$31,ROUND(S131*Settings!$B$21,0),0))</f>
        <v/>
      </c>
      <c r="Z131" s="25" t="str">
        <f aca="false">IF(N131="","",U131+V131+X131+W131+Y131)</f>
        <v/>
      </c>
      <c r="AA131" s="7" t="str">
        <f aca="false">IF(COUNT(C131:H131)=0,"",TRIM(IF(UPPER(K131)="N","Not a PF member, skipped. ","")&amp;IF(AND(UPPER(K131)&lt;&gt;"N",N(M131)&lt;=0),"PF wage is zero, skipped. ","")&amp;IF(AND(UPPER(K131)&lt;&gt;"N",N(M131)&gt;0,UPPER(L131)="N"),"Pension not applicable, whole 12% goes to EPF. ","")&amp;IF(AND(ISNUMBER(H131),ABS(SUM(C131:G131)-N(H131))&gt;1),"Heads in the file add up to "&amp;SUM(C131:G131)&amp;", Gross is "&amp;H131&amp;" (a pay head may be missing). ","")&amp;IF(AND(Settings!$B$32,N(H131)&gt;0,ISNUMBER(M131),N(M131)&lt;H131*0.5-0.5),"50% check: PF wage is "&amp;TEXT(M131/H131,"0%")&amp;" of gross. ","")&amp;IF(AND(N(M131)&gt;0,UPPER(K131)&lt;&gt;"N",N(N131)+N(O131)=0),"No days to count. ","")))</f>
        <v/>
      </c>
    </row>
    <row r="132" customFormat="false" ht="15" hidden="false" customHeight="false" outlineLevel="0" collapsed="false">
      <c r="A132" s="14"/>
      <c r="B132" s="14"/>
      <c r="C132" s="17"/>
      <c r="D132" s="17"/>
      <c r="E132" s="17"/>
      <c r="F132" s="17"/>
      <c r="G132" s="17"/>
      <c r="H132" s="17"/>
      <c r="I132" s="14"/>
      <c r="J132" s="14"/>
      <c r="K132" s="14"/>
      <c r="L132" s="14"/>
      <c r="M132" s="34" t="str">
        <f aca="false">IF(COUNT(C132:H132)=0,"",IFERROR(MAX(0,ROUND(IF(Settings!$B$33,IF(H132="",SUM(C132:G132),H132)-SUMPRODUCT(($C$4:$G$4="Y")*C132:G132),SUMPRODUCT(($C$4:$G$4="Y")*C132:G132)),0)),"Check inputs"))</f>
        <v/>
      </c>
      <c r="N132" s="35" t="str">
        <f aca="false">IF(AND(N($M132)&gt;0,UPPER($K132)&lt;&gt;"N"),IF(Settings!$B$28,MAX(0,MIN(Settings!$B$16,IF(I132="",Settings!$B$16,I132)))/Settings!$B$15,1),"")</f>
        <v/>
      </c>
      <c r="O132" s="35" t="str">
        <f aca="false">IF(AND(N($M132)&gt;0,UPPER($K132)&lt;&gt;"N"),IF(Settings!$B$28,MAX(0,MIN(Settings!$B$17,IF(J132="",Settings!$B$17,J132)))/Settings!$B$15,0),"")</f>
        <v/>
      </c>
      <c r="P132" s="34" t="str">
        <f aca="false">IF(N132="","",ROUND(IF(Settings!$B$27,MIN($M132,Settings!$B$29),$M132)*N132,0))</f>
        <v/>
      </c>
      <c r="Q132" s="34" t="str">
        <f aca="false">IF(N132="","",ROUND(IF(Settings!$B$27,MIN($M132,Settings!$B$30),$M132)*O132,0))</f>
        <v/>
      </c>
      <c r="R132" s="34" t="str">
        <f aca="false">IF(N132="","",P132+Q132)</f>
        <v/>
      </c>
      <c r="S132" s="34" t="str">
        <f aca="false">IF(N132="","",ROUND(MIN($M132,Settings!$B$29)*N132,0)+ROUND(MIN($M132,Settings!$B$30)*O132,0))</f>
        <v/>
      </c>
      <c r="T132" s="34" t="str">
        <f aca="false">IF(N132="","",IF(UPPER(L132)="N",0,S132))</f>
        <v/>
      </c>
      <c r="U132" s="25" t="str">
        <f aca="false">IF(N132="","",ROUND(R132*Settings!$B$18,0))</f>
        <v/>
      </c>
      <c r="V132" s="25" t="str">
        <f aca="false">IF(N132="","",ROUND(R132*Settings!$B$19,0)-X132)</f>
        <v/>
      </c>
      <c r="W132" s="25" t="str">
        <f aca="false">IF(N132="","",IF(Settings!$B$31,ROUND(R132*Settings!$B$22,0),0))</f>
        <v/>
      </c>
      <c r="X132" s="25" t="str">
        <f aca="false">IF(N132="","",MIN(ROUND(T132*Settings!$B$20,0),ROUND(R132*Settings!$B$19,0)))</f>
        <v/>
      </c>
      <c r="Y132" s="25" t="str">
        <f aca="false">IF(N132="","",IF(Settings!$B$31,ROUND(S132*Settings!$B$21,0),0))</f>
        <v/>
      </c>
      <c r="Z132" s="25" t="str">
        <f aca="false">IF(N132="","",U132+V132+X132+W132+Y132)</f>
        <v/>
      </c>
      <c r="AA132" s="7" t="str">
        <f aca="false">IF(COUNT(C132:H132)=0,"",TRIM(IF(UPPER(K132)="N","Not a PF member, skipped. ","")&amp;IF(AND(UPPER(K132)&lt;&gt;"N",N(M132)&lt;=0),"PF wage is zero, skipped. ","")&amp;IF(AND(UPPER(K132)&lt;&gt;"N",N(M132)&gt;0,UPPER(L132)="N"),"Pension not applicable, whole 12% goes to EPF. ","")&amp;IF(AND(ISNUMBER(H132),ABS(SUM(C132:G132)-N(H132))&gt;1),"Heads in the file add up to "&amp;SUM(C132:G132)&amp;", Gross is "&amp;H132&amp;" (a pay head may be missing). ","")&amp;IF(AND(Settings!$B$32,N(H132)&gt;0,ISNUMBER(M132),N(M132)&lt;H132*0.5-0.5),"50% check: PF wage is "&amp;TEXT(M132/H132,"0%")&amp;" of gross. ","")&amp;IF(AND(N(M132)&gt;0,UPPER(K132)&lt;&gt;"N",N(N132)+N(O132)=0),"No days to count. ","")))</f>
        <v/>
      </c>
    </row>
    <row r="133" customFormat="false" ht="15" hidden="false" customHeight="false" outlineLevel="0" collapsed="false">
      <c r="A133" s="14"/>
      <c r="B133" s="14"/>
      <c r="C133" s="17"/>
      <c r="D133" s="17"/>
      <c r="E133" s="17"/>
      <c r="F133" s="17"/>
      <c r="G133" s="17"/>
      <c r="H133" s="17"/>
      <c r="I133" s="14"/>
      <c r="J133" s="14"/>
      <c r="K133" s="14"/>
      <c r="L133" s="14"/>
      <c r="M133" s="34" t="str">
        <f aca="false">IF(COUNT(C133:H133)=0,"",IFERROR(MAX(0,ROUND(IF(Settings!$B$33,IF(H133="",SUM(C133:G133),H133)-SUMPRODUCT(($C$4:$G$4="Y")*C133:G133),SUMPRODUCT(($C$4:$G$4="Y")*C133:G133)),0)),"Check inputs"))</f>
        <v/>
      </c>
      <c r="N133" s="35" t="str">
        <f aca="false">IF(AND(N($M133)&gt;0,UPPER($K133)&lt;&gt;"N"),IF(Settings!$B$28,MAX(0,MIN(Settings!$B$16,IF(I133="",Settings!$B$16,I133)))/Settings!$B$15,1),"")</f>
        <v/>
      </c>
      <c r="O133" s="35" t="str">
        <f aca="false">IF(AND(N($M133)&gt;0,UPPER($K133)&lt;&gt;"N"),IF(Settings!$B$28,MAX(0,MIN(Settings!$B$17,IF(J133="",Settings!$B$17,J133)))/Settings!$B$15,0),"")</f>
        <v/>
      </c>
      <c r="P133" s="34" t="str">
        <f aca="false">IF(N133="","",ROUND(IF(Settings!$B$27,MIN($M133,Settings!$B$29),$M133)*N133,0))</f>
        <v/>
      </c>
      <c r="Q133" s="34" t="str">
        <f aca="false">IF(N133="","",ROUND(IF(Settings!$B$27,MIN($M133,Settings!$B$30),$M133)*O133,0))</f>
        <v/>
      </c>
      <c r="R133" s="34" t="str">
        <f aca="false">IF(N133="","",P133+Q133)</f>
        <v/>
      </c>
      <c r="S133" s="34" t="str">
        <f aca="false">IF(N133="","",ROUND(MIN($M133,Settings!$B$29)*N133,0)+ROUND(MIN($M133,Settings!$B$30)*O133,0))</f>
        <v/>
      </c>
      <c r="T133" s="34" t="str">
        <f aca="false">IF(N133="","",IF(UPPER(L133)="N",0,S133))</f>
        <v/>
      </c>
      <c r="U133" s="25" t="str">
        <f aca="false">IF(N133="","",ROUND(R133*Settings!$B$18,0))</f>
        <v/>
      </c>
      <c r="V133" s="25" t="str">
        <f aca="false">IF(N133="","",ROUND(R133*Settings!$B$19,0)-X133)</f>
        <v/>
      </c>
      <c r="W133" s="25" t="str">
        <f aca="false">IF(N133="","",IF(Settings!$B$31,ROUND(R133*Settings!$B$22,0),0))</f>
        <v/>
      </c>
      <c r="X133" s="25" t="str">
        <f aca="false">IF(N133="","",MIN(ROUND(T133*Settings!$B$20,0),ROUND(R133*Settings!$B$19,0)))</f>
        <v/>
      </c>
      <c r="Y133" s="25" t="str">
        <f aca="false">IF(N133="","",IF(Settings!$B$31,ROUND(S133*Settings!$B$21,0),0))</f>
        <v/>
      </c>
      <c r="Z133" s="25" t="str">
        <f aca="false">IF(N133="","",U133+V133+X133+W133+Y133)</f>
        <v/>
      </c>
      <c r="AA133" s="7" t="str">
        <f aca="false">IF(COUNT(C133:H133)=0,"",TRIM(IF(UPPER(K133)="N","Not a PF member, skipped. ","")&amp;IF(AND(UPPER(K133)&lt;&gt;"N",N(M133)&lt;=0),"PF wage is zero, skipped. ","")&amp;IF(AND(UPPER(K133)&lt;&gt;"N",N(M133)&gt;0,UPPER(L133)="N"),"Pension not applicable, whole 12% goes to EPF. ","")&amp;IF(AND(ISNUMBER(H133),ABS(SUM(C133:G133)-N(H133))&gt;1),"Heads in the file add up to "&amp;SUM(C133:G133)&amp;", Gross is "&amp;H133&amp;" (a pay head may be missing). ","")&amp;IF(AND(Settings!$B$32,N(H133)&gt;0,ISNUMBER(M133),N(M133)&lt;H133*0.5-0.5),"50% check: PF wage is "&amp;TEXT(M133/H133,"0%")&amp;" of gross. ","")&amp;IF(AND(N(M133)&gt;0,UPPER(K133)&lt;&gt;"N",N(N133)+N(O133)=0),"No days to count. ","")))</f>
        <v/>
      </c>
    </row>
    <row r="134" customFormat="false" ht="15" hidden="false" customHeight="false" outlineLevel="0" collapsed="false">
      <c r="A134" s="14"/>
      <c r="B134" s="14"/>
      <c r="C134" s="17"/>
      <c r="D134" s="17"/>
      <c r="E134" s="17"/>
      <c r="F134" s="17"/>
      <c r="G134" s="17"/>
      <c r="H134" s="17"/>
      <c r="I134" s="14"/>
      <c r="J134" s="14"/>
      <c r="K134" s="14"/>
      <c r="L134" s="14"/>
      <c r="M134" s="34" t="str">
        <f aca="false">IF(COUNT(C134:H134)=0,"",IFERROR(MAX(0,ROUND(IF(Settings!$B$33,IF(H134="",SUM(C134:G134),H134)-SUMPRODUCT(($C$4:$G$4="Y")*C134:G134),SUMPRODUCT(($C$4:$G$4="Y")*C134:G134)),0)),"Check inputs"))</f>
        <v/>
      </c>
      <c r="N134" s="35" t="str">
        <f aca="false">IF(AND(N($M134)&gt;0,UPPER($K134)&lt;&gt;"N"),IF(Settings!$B$28,MAX(0,MIN(Settings!$B$16,IF(I134="",Settings!$B$16,I134)))/Settings!$B$15,1),"")</f>
        <v/>
      </c>
      <c r="O134" s="35" t="str">
        <f aca="false">IF(AND(N($M134)&gt;0,UPPER($K134)&lt;&gt;"N"),IF(Settings!$B$28,MAX(0,MIN(Settings!$B$17,IF(J134="",Settings!$B$17,J134)))/Settings!$B$15,0),"")</f>
        <v/>
      </c>
      <c r="P134" s="34" t="str">
        <f aca="false">IF(N134="","",ROUND(IF(Settings!$B$27,MIN($M134,Settings!$B$29),$M134)*N134,0))</f>
        <v/>
      </c>
      <c r="Q134" s="34" t="str">
        <f aca="false">IF(N134="","",ROUND(IF(Settings!$B$27,MIN($M134,Settings!$B$30),$M134)*O134,0))</f>
        <v/>
      </c>
      <c r="R134" s="34" t="str">
        <f aca="false">IF(N134="","",P134+Q134)</f>
        <v/>
      </c>
      <c r="S134" s="34" t="str">
        <f aca="false">IF(N134="","",ROUND(MIN($M134,Settings!$B$29)*N134,0)+ROUND(MIN($M134,Settings!$B$30)*O134,0))</f>
        <v/>
      </c>
      <c r="T134" s="34" t="str">
        <f aca="false">IF(N134="","",IF(UPPER(L134)="N",0,S134))</f>
        <v/>
      </c>
      <c r="U134" s="25" t="str">
        <f aca="false">IF(N134="","",ROUND(R134*Settings!$B$18,0))</f>
        <v/>
      </c>
      <c r="V134" s="25" t="str">
        <f aca="false">IF(N134="","",ROUND(R134*Settings!$B$19,0)-X134)</f>
        <v/>
      </c>
      <c r="W134" s="25" t="str">
        <f aca="false">IF(N134="","",IF(Settings!$B$31,ROUND(R134*Settings!$B$22,0),0))</f>
        <v/>
      </c>
      <c r="X134" s="25" t="str">
        <f aca="false">IF(N134="","",MIN(ROUND(T134*Settings!$B$20,0),ROUND(R134*Settings!$B$19,0)))</f>
        <v/>
      </c>
      <c r="Y134" s="25" t="str">
        <f aca="false">IF(N134="","",IF(Settings!$B$31,ROUND(S134*Settings!$B$21,0),0))</f>
        <v/>
      </c>
      <c r="Z134" s="25" t="str">
        <f aca="false">IF(N134="","",U134+V134+X134+W134+Y134)</f>
        <v/>
      </c>
      <c r="AA134" s="7" t="str">
        <f aca="false">IF(COUNT(C134:H134)=0,"",TRIM(IF(UPPER(K134)="N","Not a PF member, skipped. ","")&amp;IF(AND(UPPER(K134)&lt;&gt;"N",N(M134)&lt;=0),"PF wage is zero, skipped. ","")&amp;IF(AND(UPPER(K134)&lt;&gt;"N",N(M134)&gt;0,UPPER(L134)="N"),"Pension not applicable, whole 12% goes to EPF. ","")&amp;IF(AND(ISNUMBER(H134),ABS(SUM(C134:G134)-N(H134))&gt;1),"Heads in the file add up to "&amp;SUM(C134:G134)&amp;", Gross is "&amp;H134&amp;" (a pay head may be missing). ","")&amp;IF(AND(Settings!$B$32,N(H134)&gt;0,ISNUMBER(M134),N(M134)&lt;H134*0.5-0.5),"50% check: PF wage is "&amp;TEXT(M134/H134,"0%")&amp;" of gross. ","")&amp;IF(AND(N(M134)&gt;0,UPPER(K134)&lt;&gt;"N",N(N134)+N(O134)=0),"No days to count. ","")))</f>
        <v/>
      </c>
    </row>
    <row r="135" customFormat="false" ht="15" hidden="false" customHeight="false" outlineLevel="0" collapsed="false">
      <c r="A135" s="14"/>
      <c r="B135" s="14"/>
      <c r="C135" s="17"/>
      <c r="D135" s="17"/>
      <c r="E135" s="17"/>
      <c r="F135" s="17"/>
      <c r="G135" s="17"/>
      <c r="H135" s="17"/>
      <c r="I135" s="14"/>
      <c r="J135" s="14"/>
      <c r="K135" s="14"/>
      <c r="L135" s="14"/>
      <c r="M135" s="34" t="str">
        <f aca="false">IF(COUNT(C135:H135)=0,"",IFERROR(MAX(0,ROUND(IF(Settings!$B$33,IF(H135="",SUM(C135:G135),H135)-SUMPRODUCT(($C$4:$G$4="Y")*C135:G135),SUMPRODUCT(($C$4:$G$4="Y")*C135:G135)),0)),"Check inputs"))</f>
        <v/>
      </c>
      <c r="N135" s="35" t="str">
        <f aca="false">IF(AND(N($M135)&gt;0,UPPER($K135)&lt;&gt;"N"),IF(Settings!$B$28,MAX(0,MIN(Settings!$B$16,IF(I135="",Settings!$B$16,I135)))/Settings!$B$15,1),"")</f>
        <v/>
      </c>
      <c r="O135" s="35" t="str">
        <f aca="false">IF(AND(N($M135)&gt;0,UPPER($K135)&lt;&gt;"N"),IF(Settings!$B$28,MAX(0,MIN(Settings!$B$17,IF(J135="",Settings!$B$17,J135)))/Settings!$B$15,0),"")</f>
        <v/>
      </c>
      <c r="P135" s="34" t="str">
        <f aca="false">IF(N135="","",ROUND(IF(Settings!$B$27,MIN($M135,Settings!$B$29),$M135)*N135,0))</f>
        <v/>
      </c>
      <c r="Q135" s="34" t="str">
        <f aca="false">IF(N135="","",ROUND(IF(Settings!$B$27,MIN($M135,Settings!$B$30),$M135)*O135,0))</f>
        <v/>
      </c>
      <c r="R135" s="34" t="str">
        <f aca="false">IF(N135="","",P135+Q135)</f>
        <v/>
      </c>
      <c r="S135" s="34" t="str">
        <f aca="false">IF(N135="","",ROUND(MIN($M135,Settings!$B$29)*N135,0)+ROUND(MIN($M135,Settings!$B$30)*O135,0))</f>
        <v/>
      </c>
      <c r="T135" s="34" t="str">
        <f aca="false">IF(N135="","",IF(UPPER(L135)="N",0,S135))</f>
        <v/>
      </c>
      <c r="U135" s="25" t="str">
        <f aca="false">IF(N135="","",ROUND(R135*Settings!$B$18,0))</f>
        <v/>
      </c>
      <c r="V135" s="25" t="str">
        <f aca="false">IF(N135="","",ROUND(R135*Settings!$B$19,0)-X135)</f>
        <v/>
      </c>
      <c r="W135" s="25" t="str">
        <f aca="false">IF(N135="","",IF(Settings!$B$31,ROUND(R135*Settings!$B$22,0),0))</f>
        <v/>
      </c>
      <c r="X135" s="25" t="str">
        <f aca="false">IF(N135="","",MIN(ROUND(T135*Settings!$B$20,0),ROUND(R135*Settings!$B$19,0)))</f>
        <v/>
      </c>
      <c r="Y135" s="25" t="str">
        <f aca="false">IF(N135="","",IF(Settings!$B$31,ROUND(S135*Settings!$B$21,0),0))</f>
        <v/>
      </c>
      <c r="Z135" s="25" t="str">
        <f aca="false">IF(N135="","",U135+V135+X135+W135+Y135)</f>
        <v/>
      </c>
      <c r="AA135" s="7" t="str">
        <f aca="false">IF(COUNT(C135:H135)=0,"",TRIM(IF(UPPER(K135)="N","Not a PF member, skipped. ","")&amp;IF(AND(UPPER(K135)&lt;&gt;"N",N(M135)&lt;=0),"PF wage is zero, skipped. ","")&amp;IF(AND(UPPER(K135)&lt;&gt;"N",N(M135)&gt;0,UPPER(L135)="N"),"Pension not applicable, whole 12% goes to EPF. ","")&amp;IF(AND(ISNUMBER(H135),ABS(SUM(C135:G135)-N(H135))&gt;1),"Heads in the file add up to "&amp;SUM(C135:G135)&amp;", Gross is "&amp;H135&amp;" (a pay head may be missing). ","")&amp;IF(AND(Settings!$B$32,N(H135)&gt;0,ISNUMBER(M135),N(M135)&lt;H135*0.5-0.5),"50% check: PF wage is "&amp;TEXT(M135/H135,"0%")&amp;" of gross. ","")&amp;IF(AND(N(M135)&gt;0,UPPER(K135)&lt;&gt;"N",N(N135)+N(O135)=0),"No days to count. ","")))</f>
        <v/>
      </c>
    </row>
    <row r="136" customFormat="false" ht="15" hidden="false" customHeight="false" outlineLevel="0" collapsed="false">
      <c r="A136" s="14"/>
      <c r="B136" s="14"/>
      <c r="C136" s="17"/>
      <c r="D136" s="17"/>
      <c r="E136" s="17"/>
      <c r="F136" s="17"/>
      <c r="G136" s="17"/>
      <c r="H136" s="17"/>
      <c r="I136" s="14"/>
      <c r="J136" s="14"/>
      <c r="K136" s="14"/>
      <c r="L136" s="14"/>
      <c r="M136" s="34" t="str">
        <f aca="false">IF(COUNT(C136:H136)=0,"",IFERROR(MAX(0,ROUND(IF(Settings!$B$33,IF(H136="",SUM(C136:G136),H136)-SUMPRODUCT(($C$4:$G$4="Y")*C136:G136),SUMPRODUCT(($C$4:$G$4="Y")*C136:G136)),0)),"Check inputs"))</f>
        <v/>
      </c>
      <c r="N136" s="35" t="str">
        <f aca="false">IF(AND(N($M136)&gt;0,UPPER($K136)&lt;&gt;"N"),IF(Settings!$B$28,MAX(0,MIN(Settings!$B$16,IF(I136="",Settings!$B$16,I136)))/Settings!$B$15,1),"")</f>
        <v/>
      </c>
      <c r="O136" s="35" t="str">
        <f aca="false">IF(AND(N($M136)&gt;0,UPPER($K136)&lt;&gt;"N"),IF(Settings!$B$28,MAX(0,MIN(Settings!$B$17,IF(J136="",Settings!$B$17,J136)))/Settings!$B$15,0),"")</f>
        <v/>
      </c>
      <c r="P136" s="34" t="str">
        <f aca="false">IF(N136="","",ROUND(IF(Settings!$B$27,MIN($M136,Settings!$B$29),$M136)*N136,0))</f>
        <v/>
      </c>
      <c r="Q136" s="34" t="str">
        <f aca="false">IF(N136="","",ROUND(IF(Settings!$B$27,MIN($M136,Settings!$B$30),$M136)*O136,0))</f>
        <v/>
      </c>
      <c r="R136" s="34" t="str">
        <f aca="false">IF(N136="","",P136+Q136)</f>
        <v/>
      </c>
      <c r="S136" s="34" t="str">
        <f aca="false">IF(N136="","",ROUND(MIN($M136,Settings!$B$29)*N136,0)+ROUND(MIN($M136,Settings!$B$30)*O136,0))</f>
        <v/>
      </c>
      <c r="T136" s="34" t="str">
        <f aca="false">IF(N136="","",IF(UPPER(L136)="N",0,S136))</f>
        <v/>
      </c>
      <c r="U136" s="25" t="str">
        <f aca="false">IF(N136="","",ROUND(R136*Settings!$B$18,0))</f>
        <v/>
      </c>
      <c r="V136" s="25" t="str">
        <f aca="false">IF(N136="","",ROUND(R136*Settings!$B$19,0)-X136)</f>
        <v/>
      </c>
      <c r="W136" s="25" t="str">
        <f aca="false">IF(N136="","",IF(Settings!$B$31,ROUND(R136*Settings!$B$22,0),0))</f>
        <v/>
      </c>
      <c r="X136" s="25" t="str">
        <f aca="false">IF(N136="","",MIN(ROUND(T136*Settings!$B$20,0),ROUND(R136*Settings!$B$19,0)))</f>
        <v/>
      </c>
      <c r="Y136" s="25" t="str">
        <f aca="false">IF(N136="","",IF(Settings!$B$31,ROUND(S136*Settings!$B$21,0),0))</f>
        <v/>
      </c>
      <c r="Z136" s="25" t="str">
        <f aca="false">IF(N136="","",U136+V136+X136+W136+Y136)</f>
        <v/>
      </c>
      <c r="AA136" s="7" t="str">
        <f aca="false">IF(COUNT(C136:H136)=0,"",TRIM(IF(UPPER(K136)="N","Not a PF member, skipped. ","")&amp;IF(AND(UPPER(K136)&lt;&gt;"N",N(M136)&lt;=0),"PF wage is zero, skipped. ","")&amp;IF(AND(UPPER(K136)&lt;&gt;"N",N(M136)&gt;0,UPPER(L136)="N"),"Pension not applicable, whole 12% goes to EPF. ","")&amp;IF(AND(ISNUMBER(H136),ABS(SUM(C136:G136)-N(H136))&gt;1),"Heads in the file add up to "&amp;SUM(C136:G136)&amp;", Gross is "&amp;H136&amp;" (a pay head may be missing). ","")&amp;IF(AND(Settings!$B$32,N(H136)&gt;0,ISNUMBER(M136),N(M136)&lt;H136*0.5-0.5),"50% check: PF wage is "&amp;TEXT(M136/H136,"0%")&amp;" of gross. ","")&amp;IF(AND(N(M136)&gt;0,UPPER(K136)&lt;&gt;"N",N(N136)+N(O136)=0),"No days to count. ","")))</f>
        <v/>
      </c>
    </row>
    <row r="137" customFormat="false" ht="15" hidden="false" customHeight="false" outlineLevel="0" collapsed="false">
      <c r="A137" s="14"/>
      <c r="B137" s="14"/>
      <c r="C137" s="17"/>
      <c r="D137" s="17"/>
      <c r="E137" s="17"/>
      <c r="F137" s="17"/>
      <c r="G137" s="17"/>
      <c r="H137" s="17"/>
      <c r="I137" s="14"/>
      <c r="J137" s="14"/>
      <c r="K137" s="14"/>
      <c r="L137" s="14"/>
      <c r="M137" s="34" t="str">
        <f aca="false">IF(COUNT(C137:H137)=0,"",IFERROR(MAX(0,ROUND(IF(Settings!$B$33,IF(H137="",SUM(C137:G137),H137)-SUMPRODUCT(($C$4:$G$4="Y")*C137:G137),SUMPRODUCT(($C$4:$G$4="Y")*C137:G137)),0)),"Check inputs"))</f>
        <v/>
      </c>
      <c r="N137" s="35" t="str">
        <f aca="false">IF(AND(N($M137)&gt;0,UPPER($K137)&lt;&gt;"N"),IF(Settings!$B$28,MAX(0,MIN(Settings!$B$16,IF(I137="",Settings!$B$16,I137)))/Settings!$B$15,1),"")</f>
        <v/>
      </c>
      <c r="O137" s="35" t="str">
        <f aca="false">IF(AND(N($M137)&gt;0,UPPER($K137)&lt;&gt;"N"),IF(Settings!$B$28,MAX(0,MIN(Settings!$B$17,IF(J137="",Settings!$B$17,J137)))/Settings!$B$15,0),"")</f>
        <v/>
      </c>
      <c r="P137" s="34" t="str">
        <f aca="false">IF(N137="","",ROUND(IF(Settings!$B$27,MIN($M137,Settings!$B$29),$M137)*N137,0))</f>
        <v/>
      </c>
      <c r="Q137" s="34" t="str">
        <f aca="false">IF(N137="","",ROUND(IF(Settings!$B$27,MIN($M137,Settings!$B$30),$M137)*O137,0))</f>
        <v/>
      </c>
      <c r="R137" s="34" t="str">
        <f aca="false">IF(N137="","",P137+Q137)</f>
        <v/>
      </c>
      <c r="S137" s="34" t="str">
        <f aca="false">IF(N137="","",ROUND(MIN($M137,Settings!$B$29)*N137,0)+ROUND(MIN($M137,Settings!$B$30)*O137,0))</f>
        <v/>
      </c>
      <c r="T137" s="34" t="str">
        <f aca="false">IF(N137="","",IF(UPPER(L137)="N",0,S137))</f>
        <v/>
      </c>
      <c r="U137" s="25" t="str">
        <f aca="false">IF(N137="","",ROUND(R137*Settings!$B$18,0))</f>
        <v/>
      </c>
      <c r="V137" s="25" t="str">
        <f aca="false">IF(N137="","",ROUND(R137*Settings!$B$19,0)-X137)</f>
        <v/>
      </c>
      <c r="W137" s="25" t="str">
        <f aca="false">IF(N137="","",IF(Settings!$B$31,ROUND(R137*Settings!$B$22,0),0))</f>
        <v/>
      </c>
      <c r="X137" s="25" t="str">
        <f aca="false">IF(N137="","",MIN(ROUND(T137*Settings!$B$20,0),ROUND(R137*Settings!$B$19,0)))</f>
        <v/>
      </c>
      <c r="Y137" s="25" t="str">
        <f aca="false">IF(N137="","",IF(Settings!$B$31,ROUND(S137*Settings!$B$21,0),0))</f>
        <v/>
      </c>
      <c r="Z137" s="25" t="str">
        <f aca="false">IF(N137="","",U137+V137+X137+W137+Y137)</f>
        <v/>
      </c>
      <c r="AA137" s="7" t="str">
        <f aca="false">IF(COUNT(C137:H137)=0,"",TRIM(IF(UPPER(K137)="N","Not a PF member, skipped. ","")&amp;IF(AND(UPPER(K137)&lt;&gt;"N",N(M137)&lt;=0),"PF wage is zero, skipped. ","")&amp;IF(AND(UPPER(K137)&lt;&gt;"N",N(M137)&gt;0,UPPER(L137)="N"),"Pension not applicable, whole 12% goes to EPF. ","")&amp;IF(AND(ISNUMBER(H137),ABS(SUM(C137:G137)-N(H137))&gt;1),"Heads in the file add up to "&amp;SUM(C137:G137)&amp;", Gross is "&amp;H137&amp;" (a pay head may be missing). ","")&amp;IF(AND(Settings!$B$32,N(H137)&gt;0,ISNUMBER(M137),N(M137)&lt;H137*0.5-0.5),"50% check: PF wage is "&amp;TEXT(M137/H137,"0%")&amp;" of gross. ","")&amp;IF(AND(N(M137)&gt;0,UPPER(K137)&lt;&gt;"N",N(N137)+N(O137)=0),"No days to count. ","")))</f>
        <v/>
      </c>
    </row>
    <row r="138" customFormat="false" ht="15" hidden="false" customHeight="false" outlineLevel="0" collapsed="false">
      <c r="A138" s="14"/>
      <c r="B138" s="14"/>
      <c r="C138" s="17"/>
      <c r="D138" s="17"/>
      <c r="E138" s="17"/>
      <c r="F138" s="17"/>
      <c r="G138" s="17"/>
      <c r="H138" s="17"/>
      <c r="I138" s="14"/>
      <c r="J138" s="14"/>
      <c r="K138" s="14"/>
      <c r="L138" s="14"/>
      <c r="M138" s="34" t="str">
        <f aca="false">IF(COUNT(C138:H138)=0,"",IFERROR(MAX(0,ROUND(IF(Settings!$B$33,IF(H138="",SUM(C138:G138),H138)-SUMPRODUCT(($C$4:$G$4="Y")*C138:G138),SUMPRODUCT(($C$4:$G$4="Y")*C138:G138)),0)),"Check inputs"))</f>
        <v/>
      </c>
      <c r="N138" s="35" t="str">
        <f aca="false">IF(AND(N($M138)&gt;0,UPPER($K138)&lt;&gt;"N"),IF(Settings!$B$28,MAX(0,MIN(Settings!$B$16,IF(I138="",Settings!$B$16,I138)))/Settings!$B$15,1),"")</f>
        <v/>
      </c>
      <c r="O138" s="35" t="str">
        <f aca="false">IF(AND(N($M138)&gt;0,UPPER($K138)&lt;&gt;"N"),IF(Settings!$B$28,MAX(0,MIN(Settings!$B$17,IF(J138="",Settings!$B$17,J138)))/Settings!$B$15,0),"")</f>
        <v/>
      </c>
      <c r="P138" s="34" t="str">
        <f aca="false">IF(N138="","",ROUND(IF(Settings!$B$27,MIN($M138,Settings!$B$29),$M138)*N138,0))</f>
        <v/>
      </c>
      <c r="Q138" s="34" t="str">
        <f aca="false">IF(N138="","",ROUND(IF(Settings!$B$27,MIN($M138,Settings!$B$30),$M138)*O138,0))</f>
        <v/>
      </c>
      <c r="R138" s="34" t="str">
        <f aca="false">IF(N138="","",P138+Q138)</f>
        <v/>
      </c>
      <c r="S138" s="34" t="str">
        <f aca="false">IF(N138="","",ROUND(MIN($M138,Settings!$B$29)*N138,0)+ROUND(MIN($M138,Settings!$B$30)*O138,0))</f>
        <v/>
      </c>
      <c r="T138" s="34" t="str">
        <f aca="false">IF(N138="","",IF(UPPER(L138)="N",0,S138))</f>
        <v/>
      </c>
      <c r="U138" s="25" t="str">
        <f aca="false">IF(N138="","",ROUND(R138*Settings!$B$18,0))</f>
        <v/>
      </c>
      <c r="V138" s="25" t="str">
        <f aca="false">IF(N138="","",ROUND(R138*Settings!$B$19,0)-X138)</f>
        <v/>
      </c>
      <c r="W138" s="25" t="str">
        <f aca="false">IF(N138="","",IF(Settings!$B$31,ROUND(R138*Settings!$B$22,0),0))</f>
        <v/>
      </c>
      <c r="X138" s="25" t="str">
        <f aca="false">IF(N138="","",MIN(ROUND(T138*Settings!$B$20,0),ROUND(R138*Settings!$B$19,0)))</f>
        <v/>
      </c>
      <c r="Y138" s="25" t="str">
        <f aca="false">IF(N138="","",IF(Settings!$B$31,ROUND(S138*Settings!$B$21,0),0))</f>
        <v/>
      </c>
      <c r="Z138" s="25" t="str">
        <f aca="false">IF(N138="","",U138+V138+X138+W138+Y138)</f>
        <v/>
      </c>
      <c r="AA138" s="7" t="str">
        <f aca="false">IF(COUNT(C138:H138)=0,"",TRIM(IF(UPPER(K138)="N","Not a PF member, skipped. ","")&amp;IF(AND(UPPER(K138)&lt;&gt;"N",N(M138)&lt;=0),"PF wage is zero, skipped. ","")&amp;IF(AND(UPPER(K138)&lt;&gt;"N",N(M138)&gt;0,UPPER(L138)="N"),"Pension not applicable, whole 12% goes to EPF. ","")&amp;IF(AND(ISNUMBER(H138),ABS(SUM(C138:G138)-N(H138))&gt;1),"Heads in the file add up to "&amp;SUM(C138:G138)&amp;", Gross is "&amp;H138&amp;" (a pay head may be missing). ","")&amp;IF(AND(Settings!$B$32,N(H138)&gt;0,ISNUMBER(M138),N(M138)&lt;H138*0.5-0.5),"50% check: PF wage is "&amp;TEXT(M138/H138,"0%")&amp;" of gross. ","")&amp;IF(AND(N(M138)&gt;0,UPPER(K138)&lt;&gt;"N",N(N138)+N(O138)=0),"No days to count. ","")))</f>
        <v/>
      </c>
    </row>
    <row r="139" customFormat="false" ht="15" hidden="false" customHeight="false" outlineLevel="0" collapsed="false">
      <c r="A139" s="14"/>
      <c r="B139" s="14"/>
      <c r="C139" s="17"/>
      <c r="D139" s="17"/>
      <c r="E139" s="17"/>
      <c r="F139" s="17"/>
      <c r="G139" s="17"/>
      <c r="H139" s="17"/>
      <c r="I139" s="14"/>
      <c r="J139" s="14"/>
      <c r="K139" s="14"/>
      <c r="L139" s="14"/>
      <c r="M139" s="34" t="str">
        <f aca="false">IF(COUNT(C139:H139)=0,"",IFERROR(MAX(0,ROUND(IF(Settings!$B$33,IF(H139="",SUM(C139:G139),H139)-SUMPRODUCT(($C$4:$G$4="Y")*C139:G139),SUMPRODUCT(($C$4:$G$4="Y")*C139:G139)),0)),"Check inputs"))</f>
        <v/>
      </c>
      <c r="N139" s="35" t="str">
        <f aca="false">IF(AND(N($M139)&gt;0,UPPER($K139)&lt;&gt;"N"),IF(Settings!$B$28,MAX(0,MIN(Settings!$B$16,IF(I139="",Settings!$B$16,I139)))/Settings!$B$15,1),"")</f>
        <v/>
      </c>
      <c r="O139" s="35" t="str">
        <f aca="false">IF(AND(N($M139)&gt;0,UPPER($K139)&lt;&gt;"N"),IF(Settings!$B$28,MAX(0,MIN(Settings!$B$17,IF(J139="",Settings!$B$17,J139)))/Settings!$B$15,0),"")</f>
        <v/>
      </c>
      <c r="P139" s="34" t="str">
        <f aca="false">IF(N139="","",ROUND(IF(Settings!$B$27,MIN($M139,Settings!$B$29),$M139)*N139,0))</f>
        <v/>
      </c>
      <c r="Q139" s="34" t="str">
        <f aca="false">IF(N139="","",ROUND(IF(Settings!$B$27,MIN($M139,Settings!$B$30),$M139)*O139,0))</f>
        <v/>
      </c>
      <c r="R139" s="34" t="str">
        <f aca="false">IF(N139="","",P139+Q139)</f>
        <v/>
      </c>
      <c r="S139" s="34" t="str">
        <f aca="false">IF(N139="","",ROUND(MIN($M139,Settings!$B$29)*N139,0)+ROUND(MIN($M139,Settings!$B$30)*O139,0))</f>
        <v/>
      </c>
      <c r="T139" s="34" t="str">
        <f aca="false">IF(N139="","",IF(UPPER(L139)="N",0,S139))</f>
        <v/>
      </c>
      <c r="U139" s="25" t="str">
        <f aca="false">IF(N139="","",ROUND(R139*Settings!$B$18,0))</f>
        <v/>
      </c>
      <c r="V139" s="25" t="str">
        <f aca="false">IF(N139="","",ROUND(R139*Settings!$B$19,0)-X139)</f>
        <v/>
      </c>
      <c r="W139" s="25" t="str">
        <f aca="false">IF(N139="","",IF(Settings!$B$31,ROUND(R139*Settings!$B$22,0),0))</f>
        <v/>
      </c>
      <c r="X139" s="25" t="str">
        <f aca="false">IF(N139="","",MIN(ROUND(T139*Settings!$B$20,0),ROUND(R139*Settings!$B$19,0)))</f>
        <v/>
      </c>
      <c r="Y139" s="25" t="str">
        <f aca="false">IF(N139="","",IF(Settings!$B$31,ROUND(S139*Settings!$B$21,0),0))</f>
        <v/>
      </c>
      <c r="Z139" s="25" t="str">
        <f aca="false">IF(N139="","",U139+V139+X139+W139+Y139)</f>
        <v/>
      </c>
      <c r="AA139" s="7" t="str">
        <f aca="false">IF(COUNT(C139:H139)=0,"",TRIM(IF(UPPER(K139)="N","Not a PF member, skipped. ","")&amp;IF(AND(UPPER(K139)&lt;&gt;"N",N(M139)&lt;=0),"PF wage is zero, skipped. ","")&amp;IF(AND(UPPER(K139)&lt;&gt;"N",N(M139)&gt;0,UPPER(L139)="N"),"Pension not applicable, whole 12% goes to EPF. ","")&amp;IF(AND(ISNUMBER(H139),ABS(SUM(C139:G139)-N(H139))&gt;1),"Heads in the file add up to "&amp;SUM(C139:G139)&amp;", Gross is "&amp;H139&amp;" (a pay head may be missing). ","")&amp;IF(AND(Settings!$B$32,N(H139)&gt;0,ISNUMBER(M139),N(M139)&lt;H139*0.5-0.5),"50% check: PF wage is "&amp;TEXT(M139/H139,"0%")&amp;" of gross. ","")&amp;IF(AND(N(M139)&gt;0,UPPER(K139)&lt;&gt;"N",N(N139)+N(O139)=0),"No days to count. ","")))</f>
        <v/>
      </c>
    </row>
    <row r="140" customFormat="false" ht="15" hidden="false" customHeight="false" outlineLevel="0" collapsed="false">
      <c r="A140" s="14"/>
      <c r="B140" s="14"/>
      <c r="C140" s="17"/>
      <c r="D140" s="17"/>
      <c r="E140" s="17"/>
      <c r="F140" s="17"/>
      <c r="G140" s="17"/>
      <c r="H140" s="17"/>
      <c r="I140" s="14"/>
      <c r="J140" s="14"/>
      <c r="K140" s="14"/>
      <c r="L140" s="14"/>
      <c r="M140" s="34" t="str">
        <f aca="false">IF(COUNT(C140:H140)=0,"",IFERROR(MAX(0,ROUND(IF(Settings!$B$33,IF(H140="",SUM(C140:G140),H140)-SUMPRODUCT(($C$4:$G$4="Y")*C140:G140),SUMPRODUCT(($C$4:$G$4="Y")*C140:G140)),0)),"Check inputs"))</f>
        <v/>
      </c>
      <c r="N140" s="35" t="str">
        <f aca="false">IF(AND(N($M140)&gt;0,UPPER($K140)&lt;&gt;"N"),IF(Settings!$B$28,MAX(0,MIN(Settings!$B$16,IF(I140="",Settings!$B$16,I140)))/Settings!$B$15,1),"")</f>
        <v/>
      </c>
      <c r="O140" s="35" t="str">
        <f aca="false">IF(AND(N($M140)&gt;0,UPPER($K140)&lt;&gt;"N"),IF(Settings!$B$28,MAX(0,MIN(Settings!$B$17,IF(J140="",Settings!$B$17,J140)))/Settings!$B$15,0),"")</f>
        <v/>
      </c>
      <c r="P140" s="34" t="str">
        <f aca="false">IF(N140="","",ROUND(IF(Settings!$B$27,MIN($M140,Settings!$B$29),$M140)*N140,0))</f>
        <v/>
      </c>
      <c r="Q140" s="34" t="str">
        <f aca="false">IF(N140="","",ROUND(IF(Settings!$B$27,MIN($M140,Settings!$B$30),$M140)*O140,0))</f>
        <v/>
      </c>
      <c r="R140" s="34" t="str">
        <f aca="false">IF(N140="","",P140+Q140)</f>
        <v/>
      </c>
      <c r="S140" s="34" t="str">
        <f aca="false">IF(N140="","",ROUND(MIN($M140,Settings!$B$29)*N140,0)+ROUND(MIN($M140,Settings!$B$30)*O140,0))</f>
        <v/>
      </c>
      <c r="T140" s="34" t="str">
        <f aca="false">IF(N140="","",IF(UPPER(L140)="N",0,S140))</f>
        <v/>
      </c>
      <c r="U140" s="25" t="str">
        <f aca="false">IF(N140="","",ROUND(R140*Settings!$B$18,0))</f>
        <v/>
      </c>
      <c r="V140" s="25" t="str">
        <f aca="false">IF(N140="","",ROUND(R140*Settings!$B$19,0)-X140)</f>
        <v/>
      </c>
      <c r="W140" s="25" t="str">
        <f aca="false">IF(N140="","",IF(Settings!$B$31,ROUND(R140*Settings!$B$22,0),0))</f>
        <v/>
      </c>
      <c r="X140" s="25" t="str">
        <f aca="false">IF(N140="","",MIN(ROUND(T140*Settings!$B$20,0),ROUND(R140*Settings!$B$19,0)))</f>
        <v/>
      </c>
      <c r="Y140" s="25" t="str">
        <f aca="false">IF(N140="","",IF(Settings!$B$31,ROUND(S140*Settings!$B$21,0),0))</f>
        <v/>
      </c>
      <c r="Z140" s="25" t="str">
        <f aca="false">IF(N140="","",U140+V140+X140+W140+Y140)</f>
        <v/>
      </c>
      <c r="AA140" s="7" t="str">
        <f aca="false">IF(COUNT(C140:H140)=0,"",TRIM(IF(UPPER(K140)="N","Not a PF member, skipped. ","")&amp;IF(AND(UPPER(K140)&lt;&gt;"N",N(M140)&lt;=0),"PF wage is zero, skipped. ","")&amp;IF(AND(UPPER(K140)&lt;&gt;"N",N(M140)&gt;0,UPPER(L140)="N"),"Pension not applicable, whole 12% goes to EPF. ","")&amp;IF(AND(ISNUMBER(H140),ABS(SUM(C140:G140)-N(H140))&gt;1),"Heads in the file add up to "&amp;SUM(C140:G140)&amp;", Gross is "&amp;H140&amp;" (a pay head may be missing). ","")&amp;IF(AND(Settings!$B$32,N(H140)&gt;0,ISNUMBER(M140),N(M140)&lt;H140*0.5-0.5),"50% check: PF wage is "&amp;TEXT(M140/H140,"0%")&amp;" of gross. ","")&amp;IF(AND(N(M140)&gt;0,UPPER(K140)&lt;&gt;"N",N(N140)+N(O140)=0),"No days to count. ","")))</f>
        <v/>
      </c>
    </row>
    <row r="141" customFormat="false" ht="15" hidden="false" customHeight="false" outlineLevel="0" collapsed="false">
      <c r="A141" s="14"/>
      <c r="B141" s="14"/>
      <c r="C141" s="17"/>
      <c r="D141" s="17"/>
      <c r="E141" s="17"/>
      <c r="F141" s="17"/>
      <c r="G141" s="17"/>
      <c r="H141" s="17"/>
      <c r="I141" s="14"/>
      <c r="J141" s="14"/>
      <c r="K141" s="14"/>
      <c r="L141" s="14"/>
      <c r="M141" s="34" t="str">
        <f aca="false">IF(COUNT(C141:H141)=0,"",IFERROR(MAX(0,ROUND(IF(Settings!$B$33,IF(H141="",SUM(C141:G141),H141)-SUMPRODUCT(($C$4:$G$4="Y")*C141:G141),SUMPRODUCT(($C$4:$G$4="Y")*C141:G141)),0)),"Check inputs"))</f>
        <v/>
      </c>
      <c r="N141" s="35" t="str">
        <f aca="false">IF(AND(N($M141)&gt;0,UPPER($K141)&lt;&gt;"N"),IF(Settings!$B$28,MAX(0,MIN(Settings!$B$16,IF(I141="",Settings!$B$16,I141)))/Settings!$B$15,1),"")</f>
        <v/>
      </c>
      <c r="O141" s="35" t="str">
        <f aca="false">IF(AND(N($M141)&gt;0,UPPER($K141)&lt;&gt;"N"),IF(Settings!$B$28,MAX(0,MIN(Settings!$B$17,IF(J141="",Settings!$B$17,J141)))/Settings!$B$15,0),"")</f>
        <v/>
      </c>
      <c r="P141" s="34" t="str">
        <f aca="false">IF(N141="","",ROUND(IF(Settings!$B$27,MIN($M141,Settings!$B$29),$M141)*N141,0))</f>
        <v/>
      </c>
      <c r="Q141" s="34" t="str">
        <f aca="false">IF(N141="","",ROUND(IF(Settings!$B$27,MIN($M141,Settings!$B$30),$M141)*O141,0))</f>
        <v/>
      </c>
      <c r="R141" s="34" t="str">
        <f aca="false">IF(N141="","",P141+Q141)</f>
        <v/>
      </c>
      <c r="S141" s="34" t="str">
        <f aca="false">IF(N141="","",ROUND(MIN($M141,Settings!$B$29)*N141,0)+ROUND(MIN($M141,Settings!$B$30)*O141,0))</f>
        <v/>
      </c>
      <c r="T141" s="34" t="str">
        <f aca="false">IF(N141="","",IF(UPPER(L141)="N",0,S141))</f>
        <v/>
      </c>
      <c r="U141" s="25" t="str">
        <f aca="false">IF(N141="","",ROUND(R141*Settings!$B$18,0))</f>
        <v/>
      </c>
      <c r="V141" s="25" t="str">
        <f aca="false">IF(N141="","",ROUND(R141*Settings!$B$19,0)-X141)</f>
        <v/>
      </c>
      <c r="W141" s="25" t="str">
        <f aca="false">IF(N141="","",IF(Settings!$B$31,ROUND(R141*Settings!$B$22,0),0))</f>
        <v/>
      </c>
      <c r="X141" s="25" t="str">
        <f aca="false">IF(N141="","",MIN(ROUND(T141*Settings!$B$20,0),ROUND(R141*Settings!$B$19,0)))</f>
        <v/>
      </c>
      <c r="Y141" s="25" t="str">
        <f aca="false">IF(N141="","",IF(Settings!$B$31,ROUND(S141*Settings!$B$21,0),0))</f>
        <v/>
      </c>
      <c r="Z141" s="25" t="str">
        <f aca="false">IF(N141="","",U141+V141+X141+W141+Y141)</f>
        <v/>
      </c>
      <c r="AA141" s="7" t="str">
        <f aca="false">IF(COUNT(C141:H141)=0,"",TRIM(IF(UPPER(K141)="N","Not a PF member, skipped. ","")&amp;IF(AND(UPPER(K141)&lt;&gt;"N",N(M141)&lt;=0),"PF wage is zero, skipped. ","")&amp;IF(AND(UPPER(K141)&lt;&gt;"N",N(M141)&gt;0,UPPER(L141)="N"),"Pension not applicable, whole 12% goes to EPF. ","")&amp;IF(AND(ISNUMBER(H141),ABS(SUM(C141:G141)-N(H141))&gt;1),"Heads in the file add up to "&amp;SUM(C141:G141)&amp;", Gross is "&amp;H141&amp;" (a pay head may be missing). ","")&amp;IF(AND(Settings!$B$32,N(H141)&gt;0,ISNUMBER(M141),N(M141)&lt;H141*0.5-0.5),"50% check: PF wage is "&amp;TEXT(M141/H141,"0%")&amp;" of gross. ","")&amp;IF(AND(N(M141)&gt;0,UPPER(K141)&lt;&gt;"N",N(N141)+N(O141)=0),"No days to count. ","")))</f>
        <v/>
      </c>
    </row>
    <row r="142" customFormat="false" ht="15" hidden="false" customHeight="false" outlineLevel="0" collapsed="false">
      <c r="A142" s="14"/>
      <c r="B142" s="14"/>
      <c r="C142" s="17"/>
      <c r="D142" s="17"/>
      <c r="E142" s="17"/>
      <c r="F142" s="17"/>
      <c r="G142" s="17"/>
      <c r="H142" s="17"/>
      <c r="I142" s="14"/>
      <c r="J142" s="14"/>
      <c r="K142" s="14"/>
      <c r="L142" s="14"/>
      <c r="M142" s="34" t="str">
        <f aca="false">IF(COUNT(C142:H142)=0,"",IFERROR(MAX(0,ROUND(IF(Settings!$B$33,IF(H142="",SUM(C142:G142),H142)-SUMPRODUCT(($C$4:$G$4="Y")*C142:G142),SUMPRODUCT(($C$4:$G$4="Y")*C142:G142)),0)),"Check inputs"))</f>
        <v/>
      </c>
      <c r="N142" s="35" t="str">
        <f aca="false">IF(AND(N($M142)&gt;0,UPPER($K142)&lt;&gt;"N"),IF(Settings!$B$28,MAX(0,MIN(Settings!$B$16,IF(I142="",Settings!$B$16,I142)))/Settings!$B$15,1),"")</f>
        <v/>
      </c>
      <c r="O142" s="35" t="str">
        <f aca="false">IF(AND(N($M142)&gt;0,UPPER($K142)&lt;&gt;"N"),IF(Settings!$B$28,MAX(0,MIN(Settings!$B$17,IF(J142="",Settings!$B$17,J142)))/Settings!$B$15,0),"")</f>
        <v/>
      </c>
      <c r="P142" s="34" t="str">
        <f aca="false">IF(N142="","",ROUND(IF(Settings!$B$27,MIN($M142,Settings!$B$29),$M142)*N142,0))</f>
        <v/>
      </c>
      <c r="Q142" s="34" t="str">
        <f aca="false">IF(N142="","",ROUND(IF(Settings!$B$27,MIN($M142,Settings!$B$30),$M142)*O142,0))</f>
        <v/>
      </c>
      <c r="R142" s="34" t="str">
        <f aca="false">IF(N142="","",P142+Q142)</f>
        <v/>
      </c>
      <c r="S142" s="34" t="str">
        <f aca="false">IF(N142="","",ROUND(MIN($M142,Settings!$B$29)*N142,0)+ROUND(MIN($M142,Settings!$B$30)*O142,0))</f>
        <v/>
      </c>
      <c r="T142" s="34" t="str">
        <f aca="false">IF(N142="","",IF(UPPER(L142)="N",0,S142))</f>
        <v/>
      </c>
      <c r="U142" s="25" t="str">
        <f aca="false">IF(N142="","",ROUND(R142*Settings!$B$18,0))</f>
        <v/>
      </c>
      <c r="V142" s="25" t="str">
        <f aca="false">IF(N142="","",ROUND(R142*Settings!$B$19,0)-X142)</f>
        <v/>
      </c>
      <c r="W142" s="25" t="str">
        <f aca="false">IF(N142="","",IF(Settings!$B$31,ROUND(R142*Settings!$B$22,0),0))</f>
        <v/>
      </c>
      <c r="X142" s="25" t="str">
        <f aca="false">IF(N142="","",MIN(ROUND(T142*Settings!$B$20,0),ROUND(R142*Settings!$B$19,0)))</f>
        <v/>
      </c>
      <c r="Y142" s="25" t="str">
        <f aca="false">IF(N142="","",IF(Settings!$B$31,ROUND(S142*Settings!$B$21,0),0))</f>
        <v/>
      </c>
      <c r="Z142" s="25" t="str">
        <f aca="false">IF(N142="","",U142+V142+X142+W142+Y142)</f>
        <v/>
      </c>
      <c r="AA142" s="7" t="str">
        <f aca="false">IF(COUNT(C142:H142)=0,"",TRIM(IF(UPPER(K142)="N","Not a PF member, skipped. ","")&amp;IF(AND(UPPER(K142)&lt;&gt;"N",N(M142)&lt;=0),"PF wage is zero, skipped. ","")&amp;IF(AND(UPPER(K142)&lt;&gt;"N",N(M142)&gt;0,UPPER(L142)="N"),"Pension not applicable, whole 12% goes to EPF. ","")&amp;IF(AND(ISNUMBER(H142),ABS(SUM(C142:G142)-N(H142))&gt;1),"Heads in the file add up to "&amp;SUM(C142:G142)&amp;", Gross is "&amp;H142&amp;" (a pay head may be missing). ","")&amp;IF(AND(Settings!$B$32,N(H142)&gt;0,ISNUMBER(M142),N(M142)&lt;H142*0.5-0.5),"50% check: PF wage is "&amp;TEXT(M142/H142,"0%")&amp;" of gross. ","")&amp;IF(AND(N(M142)&gt;0,UPPER(K142)&lt;&gt;"N",N(N142)+N(O142)=0),"No days to count. ","")))</f>
        <v/>
      </c>
    </row>
    <row r="143" customFormat="false" ht="15" hidden="false" customHeight="false" outlineLevel="0" collapsed="false">
      <c r="A143" s="14"/>
      <c r="B143" s="14"/>
      <c r="C143" s="17"/>
      <c r="D143" s="17"/>
      <c r="E143" s="17"/>
      <c r="F143" s="17"/>
      <c r="G143" s="17"/>
      <c r="H143" s="17"/>
      <c r="I143" s="14"/>
      <c r="J143" s="14"/>
      <c r="K143" s="14"/>
      <c r="L143" s="14"/>
      <c r="M143" s="34" t="str">
        <f aca="false">IF(COUNT(C143:H143)=0,"",IFERROR(MAX(0,ROUND(IF(Settings!$B$33,IF(H143="",SUM(C143:G143),H143)-SUMPRODUCT(($C$4:$G$4="Y")*C143:G143),SUMPRODUCT(($C$4:$G$4="Y")*C143:G143)),0)),"Check inputs"))</f>
        <v/>
      </c>
      <c r="N143" s="35" t="str">
        <f aca="false">IF(AND(N($M143)&gt;0,UPPER($K143)&lt;&gt;"N"),IF(Settings!$B$28,MAX(0,MIN(Settings!$B$16,IF(I143="",Settings!$B$16,I143)))/Settings!$B$15,1),"")</f>
        <v/>
      </c>
      <c r="O143" s="35" t="str">
        <f aca="false">IF(AND(N($M143)&gt;0,UPPER($K143)&lt;&gt;"N"),IF(Settings!$B$28,MAX(0,MIN(Settings!$B$17,IF(J143="",Settings!$B$17,J143)))/Settings!$B$15,0),"")</f>
        <v/>
      </c>
      <c r="P143" s="34" t="str">
        <f aca="false">IF(N143="","",ROUND(IF(Settings!$B$27,MIN($M143,Settings!$B$29),$M143)*N143,0))</f>
        <v/>
      </c>
      <c r="Q143" s="34" t="str">
        <f aca="false">IF(N143="","",ROUND(IF(Settings!$B$27,MIN($M143,Settings!$B$30),$M143)*O143,0))</f>
        <v/>
      </c>
      <c r="R143" s="34" t="str">
        <f aca="false">IF(N143="","",P143+Q143)</f>
        <v/>
      </c>
      <c r="S143" s="34" t="str">
        <f aca="false">IF(N143="","",ROUND(MIN($M143,Settings!$B$29)*N143,0)+ROUND(MIN($M143,Settings!$B$30)*O143,0))</f>
        <v/>
      </c>
      <c r="T143" s="34" t="str">
        <f aca="false">IF(N143="","",IF(UPPER(L143)="N",0,S143))</f>
        <v/>
      </c>
      <c r="U143" s="25" t="str">
        <f aca="false">IF(N143="","",ROUND(R143*Settings!$B$18,0))</f>
        <v/>
      </c>
      <c r="V143" s="25" t="str">
        <f aca="false">IF(N143="","",ROUND(R143*Settings!$B$19,0)-X143)</f>
        <v/>
      </c>
      <c r="W143" s="25" t="str">
        <f aca="false">IF(N143="","",IF(Settings!$B$31,ROUND(R143*Settings!$B$22,0),0))</f>
        <v/>
      </c>
      <c r="X143" s="25" t="str">
        <f aca="false">IF(N143="","",MIN(ROUND(T143*Settings!$B$20,0),ROUND(R143*Settings!$B$19,0)))</f>
        <v/>
      </c>
      <c r="Y143" s="25" t="str">
        <f aca="false">IF(N143="","",IF(Settings!$B$31,ROUND(S143*Settings!$B$21,0),0))</f>
        <v/>
      </c>
      <c r="Z143" s="25" t="str">
        <f aca="false">IF(N143="","",U143+V143+X143+W143+Y143)</f>
        <v/>
      </c>
      <c r="AA143" s="7" t="str">
        <f aca="false">IF(COUNT(C143:H143)=0,"",TRIM(IF(UPPER(K143)="N","Not a PF member, skipped. ","")&amp;IF(AND(UPPER(K143)&lt;&gt;"N",N(M143)&lt;=0),"PF wage is zero, skipped. ","")&amp;IF(AND(UPPER(K143)&lt;&gt;"N",N(M143)&gt;0,UPPER(L143)="N"),"Pension not applicable, whole 12% goes to EPF. ","")&amp;IF(AND(ISNUMBER(H143),ABS(SUM(C143:G143)-N(H143))&gt;1),"Heads in the file add up to "&amp;SUM(C143:G143)&amp;", Gross is "&amp;H143&amp;" (a pay head may be missing). ","")&amp;IF(AND(Settings!$B$32,N(H143)&gt;0,ISNUMBER(M143),N(M143)&lt;H143*0.5-0.5),"50% check: PF wage is "&amp;TEXT(M143/H143,"0%")&amp;" of gross. ","")&amp;IF(AND(N(M143)&gt;0,UPPER(K143)&lt;&gt;"N",N(N143)+N(O143)=0),"No days to count. ","")))</f>
        <v/>
      </c>
    </row>
    <row r="144" customFormat="false" ht="15" hidden="false" customHeight="false" outlineLevel="0" collapsed="false">
      <c r="A144" s="14"/>
      <c r="B144" s="14"/>
      <c r="C144" s="17"/>
      <c r="D144" s="17"/>
      <c r="E144" s="17"/>
      <c r="F144" s="17"/>
      <c r="G144" s="17"/>
      <c r="H144" s="17"/>
      <c r="I144" s="14"/>
      <c r="J144" s="14"/>
      <c r="K144" s="14"/>
      <c r="L144" s="14"/>
      <c r="M144" s="34" t="str">
        <f aca="false">IF(COUNT(C144:H144)=0,"",IFERROR(MAX(0,ROUND(IF(Settings!$B$33,IF(H144="",SUM(C144:G144),H144)-SUMPRODUCT(($C$4:$G$4="Y")*C144:G144),SUMPRODUCT(($C$4:$G$4="Y")*C144:G144)),0)),"Check inputs"))</f>
        <v/>
      </c>
      <c r="N144" s="35" t="str">
        <f aca="false">IF(AND(N($M144)&gt;0,UPPER($K144)&lt;&gt;"N"),IF(Settings!$B$28,MAX(0,MIN(Settings!$B$16,IF(I144="",Settings!$B$16,I144)))/Settings!$B$15,1),"")</f>
        <v/>
      </c>
      <c r="O144" s="35" t="str">
        <f aca="false">IF(AND(N($M144)&gt;0,UPPER($K144)&lt;&gt;"N"),IF(Settings!$B$28,MAX(0,MIN(Settings!$B$17,IF(J144="",Settings!$B$17,J144)))/Settings!$B$15,0),"")</f>
        <v/>
      </c>
      <c r="P144" s="34" t="str">
        <f aca="false">IF(N144="","",ROUND(IF(Settings!$B$27,MIN($M144,Settings!$B$29),$M144)*N144,0))</f>
        <v/>
      </c>
      <c r="Q144" s="34" t="str">
        <f aca="false">IF(N144="","",ROUND(IF(Settings!$B$27,MIN($M144,Settings!$B$30),$M144)*O144,0))</f>
        <v/>
      </c>
      <c r="R144" s="34" t="str">
        <f aca="false">IF(N144="","",P144+Q144)</f>
        <v/>
      </c>
      <c r="S144" s="34" t="str">
        <f aca="false">IF(N144="","",ROUND(MIN($M144,Settings!$B$29)*N144,0)+ROUND(MIN($M144,Settings!$B$30)*O144,0))</f>
        <v/>
      </c>
      <c r="T144" s="34" t="str">
        <f aca="false">IF(N144="","",IF(UPPER(L144)="N",0,S144))</f>
        <v/>
      </c>
      <c r="U144" s="25" t="str">
        <f aca="false">IF(N144="","",ROUND(R144*Settings!$B$18,0))</f>
        <v/>
      </c>
      <c r="V144" s="25" t="str">
        <f aca="false">IF(N144="","",ROUND(R144*Settings!$B$19,0)-X144)</f>
        <v/>
      </c>
      <c r="W144" s="25" t="str">
        <f aca="false">IF(N144="","",IF(Settings!$B$31,ROUND(R144*Settings!$B$22,0),0))</f>
        <v/>
      </c>
      <c r="X144" s="25" t="str">
        <f aca="false">IF(N144="","",MIN(ROUND(T144*Settings!$B$20,0),ROUND(R144*Settings!$B$19,0)))</f>
        <v/>
      </c>
      <c r="Y144" s="25" t="str">
        <f aca="false">IF(N144="","",IF(Settings!$B$31,ROUND(S144*Settings!$B$21,0),0))</f>
        <v/>
      </c>
      <c r="Z144" s="25" t="str">
        <f aca="false">IF(N144="","",U144+V144+X144+W144+Y144)</f>
        <v/>
      </c>
      <c r="AA144" s="7" t="str">
        <f aca="false">IF(COUNT(C144:H144)=0,"",TRIM(IF(UPPER(K144)="N","Not a PF member, skipped. ","")&amp;IF(AND(UPPER(K144)&lt;&gt;"N",N(M144)&lt;=0),"PF wage is zero, skipped. ","")&amp;IF(AND(UPPER(K144)&lt;&gt;"N",N(M144)&gt;0,UPPER(L144)="N"),"Pension not applicable, whole 12% goes to EPF. ","")&amp;IF(AND(ISNUMBER(H144),ABS(SUM(C144:G144)-N(H144))&gt;1),"Heads in the file add up to "&amp;SUM(C144:G144)&amp;", Gross is "&amp;H144&amp;" (a pay head may be missing). ","")&amp;IF(AND(Settings!$B$32,N(H144)&gt;0,ISNUMBER(M144),N(M144)&lt;H144*0.5-0.5),"50% check: PF wage is "&amp;TEXT(M144/H144,"0%")&amp;" of gross. ","")&amp;IF(AND(N(M144)&gt;0,UPPER(K144)&lt;&gt;"N",N(N144)+N(O144)=0),"No days to count. ","")))</f>
        <v/>
      </c>
    </row>
    <row r="145" customFormat="false" ht="15" hidden="false" customHeight="false" outlineLevel="0" collapsed="false">
      <c r="A145" s="14"/>
      <c r="B145" s="14"/>
      <c r="C145" s="17"/>
      <c r="D145" s="17"/>
      <c r="E145" s="17"/>
      <c r="F145" s="17"/>
      <c r="G145" s="17"/>
      <c r="H145" s="17"/>
      <c r="I145" s="14"/>
      <c r="J145" s="14"/>
      <c r="K145" s="14"/>
      <c r="L145" s="14"/>
      <c r="M145" s="34" t="str">
        <f aca="false">IF(COUNT(C145:H145)=0,"",IFERROR(MAX(0,ROUND(IF(Settings!$B$33,IF(H145="",SUM(C145:G145),H145)-SUMPRODUCT(($C$4:$G$4="Y")*C145:G145),SUMPRODUCT(($C$4:$G$4="Y")*C145:G145)),0)),"Check inputs"))</f>
        <v/>
      </c>
      <c r="N145" s="35" t="str">
        <f aca="false">IF(AND(N($M145)&gt;0,UPPER($K145)&lt;&gt;"N"),IF(Settings!$B$28,MAX(0,MIN(Settings!$B$16,IF(I145="",Settings!$B$16,I145)))/Settings!$B$15,1),"")</f>
        <v/>
      </c>
      <c r="O145" s="35" t="str">
        <f aca="false">IF(AND(N($M145)&gt;0,UPPER($K145)&lt;&gt;"N"),IF(Settings!$B$28,MAX(0,MIN(Settings!$B$17,IF(J145="",Settings!$B$17,J145)))/Settings!$B$15,0),"")</f>
        <v/>
      </c>
      <c r="P145" s="34" t="str">
        <f aca="false">IF(N145="","",ROUND(IF(Settings!$B$27,MIN($M145,Settings!$B$29),$M145)*N145,0))</f>
        <v/>
      </c>
      <c r="Q145" s="34" t="str">
        <f aca="false">IF(N145="","",ROUND(IF(Settings!$B$27,MIN($M145,Settings!$B$30),$M145)*O145,0))</f>
        <v/>
      </c>
      <c r="R145" s="34" t="str">
        <f aca="false">IF(N145="","",P145+Q145)</f>
        <v/>
      </c>
      <c r="S145" s="34" t="str">
        <f aca="false">IF(N145="","",ROUND(MIN($M145,Settings!$B$29)*N145,0)+ROUND(MIN($M145,Settings!$B$30)*O145,0))</f>
        <v/>
      </c>
      <c r="T145" s="34" t="str">
        <f aca="false">IF(N145="","",IF(UPPER(L145)="N",0,S145))</f>
        <v/>
      </c>
      <c r="U145" s="25" t="str">
        <f aca="false">IF(N145="","",ROUND(R145*Settings!$B$18,0))</f>
        <v/>
      </c>
      <c r="V145" s="25" t="str">
        <f aca="false">IF(N145="","",ROUND(R145*Settings!$B$19,0)-X145)</f>
        <v/>
      </c>
      <c r="W145" s="25" t="str">
        <f aca="false">IF(N145="","",IF(Settings!$B$31,ROUND(R145*Settings!$B$22,0),0))</f>
        <v/>
      </c>
      <c r="X145" s="25" t="str">
        <f aca="false">IF(N145="","",MIN(ROUND(T145*Settings!$B$20,0),ROUND(R145*Settings!$B$19,0)))</f>
        <v/>
      </c>
      <c r="Y145" s="25" t="str">
        <f aca="false">IF(N145="","",IF(Settings!$B$31,ROUND(S145*Settings!$B$21,0),0))</f>
        <v/>
      </c>
      <c r="Z145" s="25" t="str">
        <f aca="false">IF(N145="","",U145+V145+X145+W145+Y145)</f>
        <v/>
      </c>
      <c r="AA145" s="7" t="str">
        <f aca="false">IF(COUNT(C145:H145)=0,"",TRIM(IF(UPPER(K145)="N","Not a PF member, skipped. ","")&amp;IF(AND(UPPER(K145)&lt;&gt;"N",N(M145)&lt;=0),"PF wage is zero, skipped. ","")&amp;IF(AND(UPPER(K145)&lt;&gt;"N",N(M145)&gt;0,UPPER(L145)="N"),"Pension not applicable, whole 12% goes to EPF. ","")&amp;IF(AND(ISNUMBER(H145),ABS(SUM(C145:G145)-N(H145))&gt;1),"Heads in the file add up to "&amp;SUM(C145:G145)&amp;", Gross is "&amp;H145&amp;" (a pay head may be missing). ","")&amp;IF(AND(Settings!$B$32,N(H145)&gt;0,ISNUMBER(M145),N(M145)&lt;H145*0.5-0.5),"50% check: PF wage is "&amp;TEXT(M145/H145,"0%")&amp;" of gross. ","")&amp;IF(AND(N(M145)&gt;0,UPPER(K145)&lt;&gt;"N",N(N145)+N(O145)=0),"No days to count. ","")))</f>
        <v/>
      </c>
    </row>
    <row r="146" customFormat="false" ht="15" hidden="false" customHeight="false" outlineLevel="0" collapsed="false">
      <c r="A146" s="14"/>
      <c r="B146" s="14"/>
      <c r="C146" s="17"/>
      <c r="D146" s="17"/>
      <c r="E146" s="17"/>
      <c r="F146" s="17"/>
      <c r="G146" s="17"/>
      <c r="H146" s="17"/>
      <c r="I146" s="14"/>
      <c r="J146" s="14"/>
      <c r="K146" s="14"/>
      <c r="L146" s="14"/>
      <c r="M146" s="34" t="str">
        <f aca="false">IF(COUNT(C146:H146)=0,"",IFERROR(MAX(0,ROUND(IF(Settings!$B$33,IF(H146="",SUM(C146:G146),H146)-SUMPRODUCT(($C$4:$G$4="Y")*C146:G146),SUMPRODUCT(($C$4:$G$4="Y")*C146:G146)),0)),"Check inputs"))</f>
        <v/>
      </c>
      <c r="N146" s="35" t="str">
        <f aca="false">IF(AND(N($M146)&gt;0,UPPER($K146)&lt;&gt;"N"),IF(Settings!$B$28,MAX(0,MIN(Settings!$B$16,IF(I146="",Settings!$B$16,I146)))/Settings!$B$15,1),"")</f>
        <v/>
      </c>
      <c r="O146" s="35" t="str">
        <f aca="false">IF(AND(N($M146)&gt;0,UPPER($K146)&lt;&gt;"N"),IF(Settings!$B$28,MAX(0,MIN(Settings!$B$17,IF(J146="",Settings!$B$17,J146)))/Settings!$B$15,0),"")</f>
        <v/>
      </c>
      <c r="P146" s="34" t="str">
        <f aca="false">IF(N146="","",ROUND(IF(Settings!$B$27,MIN($M146,Settings!$B$29),$M146)*N146,0))</f>
        <v/>
      </c>
      <c r="Q146" s="34" t="str">
        <f aca="false">IF(N146="","",ROUND(IF(Settings!$B$27,MIN($M146,Settings!$B$30),$M146)*O146,0))</f>
        <v/>
      </c>
      <c r="R146" s="34" t="str">
        <f aca="false">IF(N146="","",P146+Q146)</f>
        <v/>
      </c>
      <c r="S146" s="34" t="str">
        <f aca="false">IF(N146="","",ROUND(MIN($M146,Settings!$B$29)*N146,0)+ROUND(MIN($M146,Settings!$B$30)*O146,0))</f>
        <v/>
      </c>
      <c r="T146" s="34" t="str">
        <f aca="false">IF(N146="","",IF(UPPER(L146)="N",0,S146))</f>
        <v/>
      </c>
      <c r="U146" s="25" t="str">
        <f aca="false">IF(N146="","",ROUND(R146*Settings!$B$18,0))</f>
        <v/>
      </c>
      <c r="V146" s="25" t="str">
        <f aca="false">IF(N146="","",ROUND(R146*Settings!$B$19,0)-X146)</f>
        <v/>
      </c>
      <c r="W146" s="25" t="str">
        <f aca="false">IF(N146="","",IF(Settings!$B$31,ROUND(R146*Settings!$B$22,0),0))</f>
        <v/>
      </c>
      <c r="X146" s="25" t="str">
        <f aca="false">IF(N146="","",MIN(ROUND(T146*Settings!$B$20,0),ROUND(R146*Settings!$B$19,0)))</f>
        <v/>
      </c>
      <c r="Y146" s="25" t="str">
        <f aca="false">IF(N146="","",IF(Settings!$B$31,ROUND(S146*Settings!$B$21,0),0))</f>
        <v/>
      </c>
      <c r="Z146" s="25" t="str">
        <f aca="false">IF(N146="","",U146+V146+X146+W146+Y146)</f>
        <v/>
      </c>
      <c r="AA146" s="7" t="str">
        <f aca="false">IF(COUNT(C146:H146)=0,"",TRIM(IF(UPPER(K146)="N","Not a PF member, skipped. ","")&amp;IF(AND(UPPER(K146)&lt;&gt;"N",N(M146)&lt;=0),"PF wage is zero, skipped. ","")&amp;IF(AND(UPPER(K146)&lt;&gt;"N",N(M146)&gt;0,UPPER(L146)="N"),"Pension not applicable, whole 12% goes to EPF. ","")&amp;IF(AND(ISNUMBER(H146),ABS(SUM(C146:G146)-N(H146))&gt;1),"Heads in the file add up to "&amp;SUM(C146:G146)&amp;", Gross is "&amp;H146&amp;" (a pay head may be missing). ","")&amp;IF(AND(Settings!$B$32,N(H146)&gt;0,ISNUMBER(M146),N(M146)&lt;H146*0.5-0.5),"50% check: PF wage is "&amp;TEXT(M146/H146,"0%")&amp;" of gross. ","")&amp;IF(AND(N(M146)&gt;0,UPPER(K146)&lt;&gt;"N",N(N146)+N(O146)=0),"No days to count. ","")))</f>
        <v/>
      </c>
    </row>
    <row r="147" customFormat="false" ht="15" hidden="false" customHeight="false" outlineLevel="0" collapsed="false">
      <c r="A147" s="14"/>
      <c r="B147" s="14"/>
      <c r="C147" s="17"/>
      <c r="D147" s="17"/>
      <c r="E147" s="17"/>
      <c r="F147" s="17"/>
      <c r="G147" s="17"/>
      <c r="H147" s="17"/>
      <c r="I147" s="14"/>
      <c r="J147" s="14"/>
      <c r="K147" s="14"/>
      <c r="L147" s="14"/>
      <c r="M147" s="34" t="str">
        <f aca="false">IF(COUNT(C147:H147)=0,"",IFERROR(MAX(0,ROUND(IF(Settings!$B$33,IF(H147="",SUM(C147:G147),H147)-SUMPRODUCT(($C$4:$G$4="Y")*C147:G147),SUMPRODUCT(($C$4:$G$4="Y")*C147:G147)),0)),"Check inputs"))</f>
        <v/>
      </c>
      <c r="N147" s="35" t="str">
        <f aca="false">IF(AND(N($M147)&gt;0,UPPER($K147)&lt;&gt;"N"),IF(Settings!$B$28,MAX(0,MIN(Settings!$B$16,IF(I147="",Settings!$B$16,I147)))/Settings!$B$15,1),"")</f>
        <v/>
      </c>
      <c r="O147" s="35" t="str">
        <f aca="false">IF(AND(N($M147)&gt;0,UPPER($K147)&lt;&gt;"N"),IF(Settings!$B$28,MAX(0,MIN(Settings!$B$17,IF(J147="",Settings!$B$17,J147)))/Settings!$B$15,0),"")</f>
        <v/>
      </c>
      <c r="P147" s="34" t="str">
        <f aca="false">IF(N147="","",ROUND(IF(Settings!$B$27,MIN($M147,Settings!$B$29),$M147)*N147,0))</f>
        <v/>
      </c>
      <c r="Q147" s="34" t="str">
        <f aca="false">IF(N147="","",ROUND(IF(Settings!$B$27,MIN($M147,Settings!$B$30),$M147)*O147,0))</f>
        <v/>
      </c>
      <c r="R147" s="34" t="str">
        <f aca="false">IF(N147="","",P147+Q147)</f>
        <v/>
      </c>
      <c r="S147" s="34" t="str">
        <f aca="false">IF(N147="","",ROUND(MIN($M147,Settings!$B$29)*N147,0)+ROUND(MIN($M147,Settings!$B$30)*O147,0))</f>
        <v/>
      </c>
      <c r="T147" s="34" t="str">
        <f aca="false">IF(N147="","",IF(UPPER(L147)="N",0,S147))</f>
        <v/>
      </c>
      <c r="U147" s="25" t="str">
        <f aca="false">IF(N147="","",ROUND(R147*Settings!$B$18,0))</f>
        <v/>
      </c>
      <c r="V147" s="25" t="str">
        <f aca="false">IF(N147="","",ROUND(R147*Settings!$B$19,0)-X147)</f>
        <v/>
      </c>
      <c r="W147" s="25" t="str">
        <f aca="false">IF(N147="","",IF(Settings!$B$31,ROUND(R147*Settings!$B$22,0),0))</f>
        <v/>
      </c>
      <c r="X147" s="25" t="str">
        <f aca="false">IF(N147="","",MIN(ROUND(T147*Settings!$B$20,0),ROUND(R147*Settings!$B$19,0)))</f>
        <v/>
      </c>
      <c r="Y147" s="25" t="str">
        <f aca="false">IF(N147="","",IF(Settings!$B$31,ROUND(S147*Settings!$B$21,0),0))</f>
        <v/>
      </c>
      <c r="Z147" s="25" t="str">
        <f aca="false">IF(N147="","",U147+V147+X147+W147+Y147)</f>
        <v/>
      </c>
      <c r="AA147" s="7" t="str">
        <f aca="false">IF(COUNT(C147:H147)=0,"",TRIM(IF(UPPER(K147)="N","Not a PF member, skipped. ","")&amp;IF(AND(UPPER(K147)&lt;&gt;"N",N(M147)&lt;=0),"PF wage is zero, skipped. ","")&amp;IF(AND(UPPER(K147)&lt;&gt;"N",N(M147)&gt;0,UPPER(L147)="N"),"Pension not applicable, whole 12% goes to EPF. ","")&amp;IF(AND(ISNUMBER(H147),ABS(SUM(C147:G147)-N(H147))&gt;1),"Heads in the file add up to "&amp;SUM(C147:G147)&amp;", Gross is "&amp;H147&amp;" (a pay head may be missing). ","")&amp;IF(AND(Settings!$B$32,N(H147)&gt;0,ISNUMBER(M147),N(M147)&lt;H147*0.5-0.5),"50% check: PF wage is "&amp;TEXT(M147/H147,"0%")&amp;" of gross. ","")&amp;IF(AND(N(M147)&gt;0,UPPER(K147)&lt;&gt;"N",N(N147)+N(O147)=0),"No days to count. ","")))</f>
        <v/>
      </c>
    </row>
    <row r="148" customFormat="false" ht="15" hidden="false" customHeight="false" outlineLevel="0" collapsed="false">
      <c r="A148" s="14"/>
      <c r="B148" s="14"/>
      <c r="C148" s="17"/>
      <c r="D148" s="17"/>
      <c r="E148" s="17"/>
      <c r="F148" s="17"/>
      <c r="G148" s="17"/>
      <c r="H148" s="17"/>
      <c r="I148" s="14"/>
      <c r="J148" s="14"/>
      <c r="K148" s="14"/>
      <c r="L148" s="14"/>
      <c r="M148" s="34" t="str">
        <f aca="false">IF(COUNT(C148:H148)=0,"",IFERROR(MAX(0,ROUND(IF(Settings!$B$33,IF(H148="",SUM(C148:G148),H148)-SUMPRODUCT(($C$4:$G$4="Y")*C148:G148),SUMPRODUCT(($C$4:$G$4="Y")*C148:G148)),0)),"Check inputs"))</f>
        <v/>
      </c>
      <c r="N148" s="35" t="str">
        <f aca="false">IF(AND(N($M148)&gt;0,UPPER($K148)&lt;&gt;"N"),IF(Settings!$B$28,MAX(0,MIN(Settings!$B$16,IF(I148="",Settings!$B$16,I148)))/Settings!$B$15,1),"")</f>
        <v/>
      </c>
      <c r="O148" s="35" t="str">
        <f aca="false">IF(AND(N($M148)&gt;0,UPPER($K148)&lt;&gt;"N"),IF(Settings!$B$28,MAX(0,MIN(Settings!$B$17,IF(J148="",Settings!$B$17,J148)))/Settings!$B$15,0),"")</f>
        <v/>
      </c>
      <c r="P148" s="34" t="str">
        <f aca="false">IF(N148="","",ROUND(IF(Settings!$B$27,MIN($M148,Settings!$B$29),$M148)*N148,0))</f>
        <v/>
      </c>
      <c r="Q148" s="34" t="str">
        <f aca="false">IF(N148="","",ROUND(IF(Settings!$B$27,MIN($M148,Settings!$B$30),$M148)*O148,0))</f>
        <v/>
      </c>
      <c r="R148" s="34" t="str">
        <f aca="false">IF(N148="","",P148+Q148)</f>
        <v/>
      </c>
      <c r="S148" s="34" t="str">
        <f aca="false">IF(N148="","",ROUND(MIN($M148,Settings!$B$29)*N148,0)+ROUND(MIN($M148,Settings!$B$30)*O148,0))</f>
        <v/>
      </c>
      <c r="T148" s="34" t="str">
        <f aca="false">IF(N148="","",IF(UPPER(L148)="N",0,S148))</f>
        <v/>
      </c>
      <c r="U148" s="25" t="str">
        <f aca="false">IF(N148="","",ROUND(R148*Settings!$B$18,0))</f>
        <v/>
      </c>
      <c r="V148" s="25" t="str">
        <f aca="false">IF(N148="","",ROUND(R148*Settings!$B$19,0)-X148)</f>
        <v/>
      </c>
      <c r="W148" s="25" t="str">
        <f aca="false">IF(N148="","",IF(Settings!$B$31,ROUND(R148*Settings!$B$22,0),0))</f>
        <v/>
      </c>
      <c r="X148" s="25" t="str">
        <f aca="false">IF(N148="","",MIN(ROUND(T148*Settings!$B$20,0),ROUND(R148*Settings!$B$19,0)))</f>
        <v/>
      </c>
      <c r="Y148" s="25" t="str">
        <f aca="false">IF(N148="","",IF(Settings!$B$31,ROUND(S148*Settings!$B$21,0),0))</f>
        <v/>
      </c>
      <c r="Z148" s="25" t="str">
        <f aca="false">IF(N148="","",U148+V148+X148+W148+Y148)</f>
        <v/>
      </c>
      <c r="AA148" s="7" t="str">
        <f aca="false">IF(COUNT(C148:H148)=0,"",TRIM(IF(UPPER(K148)="N","Not a PF member, skipped. ","")&amp;IF(AND(UPPER(K148)&lt;&gt;"N",N(M148)&lt;=0),"PF wage is zero, skipped. ","")&amp;IF(AND(UPPER(K148)&lt;&gt;"N",N(M148)&gt;0,UPPER(L148)="N"),"Pension not applicable, whole 12% goes to EPF. ","")&amp;IF(AND(ISNUMBER(H148),ABS(SUM(C148:G148)-N(H148))&gt;1),"Heads in the file add up to "&amp;SUM(C148:G148)&amp;", Gross is "&amp;H148&amp;" (a pay head may be missing). ","")&amp;IF(AND(Settings!$B$32,N(H148)&gt;0,ISNUMBER(M148),N(M148)&lt;H148*0.5-0.5),"50% check: PF wage is "&amp;TEXT(M148/H148,"0%")&amp;" of gross. ","")&amp;IF(AND(N(M148)&gt;0,UPPER(K148)&lt;&gt;"N",N(N148)+N(O148)=0),"No days to count. ","")))</f>
        <v/>
      </c>
    </row>
    <row r="149" customFormat="false" ht="15" hidden="false" customHeight="false" outlineLevel="0" collapsed="false">
      <c r="A149" s="14"/>
      <c r="B149" s="14"/>
      <c r="C149" s="17"/>
      <c r="D149" s="17"/>
      <c r="E149" s="17"/>
      <c r="F149" s="17"/>
      <c r="G149" s="17"/>
      <c r="H149" s="17"/>
      <c r="I149" s="14"/>
      <c r="J149" s="14"/>
      <c r="K149" s="14"/>
      <c r="L149" s="14"/>
      <c r="M149" s="34" t="str">
        <f aca="false">IF(COUNT(C149:H149)=0,"",IFERROR(MAX(0,ROUND(IF(Settings!$B$33,IF(H149="",SUM(C149:G149),H149)-SUMPRODUCT(($C$4:$G$4="Y")*C149:G149),SUMPRODUCT(($C$4:$G$4="Y")*C149:G149)),0)),"Check inputs"))</f>
        <v/>
      </c>
      <c r="N149" s="35" t="str">
        <f aca="false">IF(AND(N($M149)&gt;0,UPPER($K149)&lt;&gt;"N"),IF(Settings!$B$28,MAX(0,MIN(Settings!$B$16,IF(I149="",Settings!$B$16,I149)))/Settings!$B$15,1),"")</f>
        <v/>
      </c>
      <c r="O149" s="35" t="str">
        <f aca="false">IF(AND(N($M149)&gt;0,UPPER($K149)&lt;&gt;"N"),IF(Settings!$B$28,MAX(0,MIN(Settings!$B$17,IF(J149="",Settings!$B$17,J149)))/Settings!$B$15,0),"")</f>
        <v/>
      </c>
      <c r="P149" s="34" t="str">
        <f aca="false">IF(N149="","",ROUND(IF(Settings!$B$27,MIN($M149,Settings!$B$29),$M149)*N149,0))</f>
        <v/>
      </c>
      <c r="Q149" s="34" t="str">
        <f aca="false">IF(N149="","",ROUND(IF(Settings!$B$27,MIN($M149,Settings!$B$30),$M149)*O149,0))</f>
        <v/>
      </c>
      <c r="R149" s="34" t="str">
        <f aca="false">IF(N149="","",P149+Q149)</f>
        <v/>
      </c>
      <c r="S149" s="34" t="str">
        <f aca="false">IF(N149="","",ROUND(MIN($M149,Settings!$B$29)*N149,0)+ROUND(MIN($M149,Settings!$B$30)*O149,0))</f>
        <v/>
      </c>
      <c r="T149" s="34" t="str">
        <f aca="false">IF(N149="","",IF(UPPER(L149)="N",0,S149))</f>
        <v/>
      </c>
      <c r="U149" s="25" t="str">
        <f aca="false">IF(N149="","",ROUND(R149*Settings!$B$18,0))</f>
        <v/>
      </c>
      <c r="V149" s="25" t="str">
        <f aca="false">IF(N149="","",ROUND(R149*Settings!$B$19,0)-X149)</f>
        <v/>
      </c>
      <c r="W149" s="25" t="str">
        <f aca="false">IF(N149="","",IF(Settings!$B$31,ROUND(R149*Settings!$B$22,0),0))</f>
        <v/>
      </c>
      <c r="X149" s="25" t="str">
        <f aca="false">IF(N149="","",MIN(ROUND(T149*Settings!$B$20,0),ROUND(R149*Settings!$B$19,0)))</f>
        <v/>
      </c>
      <c r="Y149" s="25" t="str">
        <f aca="false">IF(N149="","",IF(Settings!$B$31,ROUND(S149*Settings!$B$21,0),0))</f>
        <v/>
      </c>
      <c r="Z149" s="25" t="str">
        <f aca="false">IF(N149="","",U149+V149+X149+W149+Y149)</f>
        <v/>
      </c>
      <c r="AA149" s="7" t="str">
        <f aca="false">IF(COUNT(C149:H149)=0,"",TRIM(IF(UPPER(K149)="N","Not a PF member, skipped. ","")&amp;IF(AND(UPPER(K149)&lt;&gt;"N",N(M149)&lt;=0),"PF wage is zero, skipped. ","")&amp;IF(AND(UPPER(K149)&lt;&gt;"N",N(M149)&gt;0,UPPER(L149)="N"),"Pension not applicable, whole 12% goes to EPF. ","")&amp;IF(AND(ISNUMBER(H149),ABS(SUM(C149:G149)-N(H149))&gt;1),"Heads in the file add up to "&amp;SUM(C149:G149)&amp;", Gross is "&amp;H149&amp;" (a pay head may be missing). ","")&amp;IF(AND(Settings!$B$32,N(H149)&gt;0,ISNUMBER(M149),N(M149)&lt;H149*0.5-0.5),"50% check: PF wage is "&amp;TEXT(M149/H149,"0%")&amp;" of gross. ","")&amp;IF(AND(N(M149)&gt;0,UPPER(K149)&lt;&gt;"N",N(N149)+N(O149)=0),"No days to count. ","")))</f>
        <v/>
      </c>
    </row>
    <row r="150" customFormat="false" ht="15" hidden="false" customHeight="false" outlineLevel="0" collapsed="false">
      <c r="A150" s="14"/>
      <c r="B150" s="14"/>
      <c r="C150" s="17"/>
      <c r="D150" s="17"/>
      <c r="E150" s="17"/>
      <c r="F150" s="17"/>
      <c r="G150" s="17"/>
      <c r="H150" s="17"/>
      <c r="I150" s="14"/>
      <c r="J150" s="14"/>
      <c r="K150" s="14"/>
      <c r="L150" s="14"/>
      <c r="M150" s="34" t="str">
        <f aca="false">IF(COUNT(C150:H150)=0,"",IFERROR(MAX(0,ROUND(IF(Settings!$B$33,IF(H150="",SUM(C150:G150),H150)-SUMPRODUCT(($C$4:$G$4="Y")*C150:G150),SUMPRODUCT(($C$4:$G$4="Y")*C150:G150)),0)),"Check inputs"))</f>
        <v/>
      </c>
      <c r="N150" s="35" t="str">
        <f aca="false">IF(AND(N($M150)&gt;0,UPPER($K150)&lt;&gt;"N"),IF(Settings!$B$28,MAX(0,MIN(Settings!$B$16,IF(I150="",Settings!$B$16,I150)))/Settings!$B$15,1),"")</f>
        <v/>
      </c>
      <c r="O150" s="35" t="str">
        <f aca="false">IF(AND(N($M150)&gt;0,UPPER($K150)&lt;&gt;"N"),IF(Settings!$B$28,MAX(0,MIN(Settings!$B$17,IF(J150="",Settings!$B$17,J150)))/Settings!$B$15,0),"")</f>
        <v/>
      </c>
      <c r="P150" s="34" t="str">
        <f aca="false">IF(N150="","",ROUND(IF(Settings!$B$27,MIN($M150,Settings!$B$29),$M150)*N150,0))</f>
        <v/>
      </c>
      <c r="Q150" s="34" t="str">
        <f aca="false">IF(N150="","",ROUND(IF(Settings!$B$27,MIN($M150,Settings!$B$30),$M150)*O150,0))</f>
        <v/>
      </c>
      <c r="R150" s="34" t="str">
        <f aca="false">IF(N150="","",P150+Q150)</f>
        <v/>
      </c>
      <c r="S150" s="34" t="str">
        <f aca="false">IF(N150="","",ROUND(MIN($M150,Settings!$B$29)*N150,0)+ROUND(MIN($M150,Settings!$B$30)*O150,0))</f>
        <v/>
      </c>
      <c r="T150" s="34" t="str">
        <f aca="false">IF(N150="","",IF(UPPER(L150)="N",0,S150))</f>
        <v/>
      </c>
      <c r="U150" s="25" t="str">
        <f aca="false">IF(N150="","",ROUND(R150*Settings!$B$18,0))</f>
        <v/>
      </c>
      <c r="V150" s="25" t="str">
        <f aca="false">IF(N150="","",ROUND(R150*Settings!$B$19,0)-X150)</f>
        <v/>
      </c>
      <c r="W150" s="25" t="str">
        <f aca="false">IF(N150="","",IF(Settings!$B$31,ROUND(R150*Settings!$B$22,0),0))</f>
        <v/>
      </c>
      <c r="X150" s="25" t="str">
        <f aca="false">IF(N150="","",MIN(ROUND(T150*Settings!$B$20,0),ROUND(R150*Settings!$B$19,0)))</f>
        <v/>
      </c>
      <c r="Y150" s="25" t="str">
        <f aca="false">IF(N150="","",IF(Settings!$B$31,ROUND(S150*Settings!$B$21,0),0))</f>
        <v/>
      </c>
      <c r="Z150" s="25" t="str">
        <f aca="false">IF(N150="","",U150+V150+X150+W150+Y150)</f>
        <v/>
      </c>
      <c r="AA150" s="7" t="str">
        <f aca="false">IF(COUNT(C150:H150)=0,"",TRIM(IF(UPPER(K150)="N","Not a PF member, skipped. ","")&amp;IF(AND(UPPER(K150)&lt;&gt;"N",N(M150)&lt;=0),"PF wage is zero, skipped. ","")&amp;IF(AND(UPPER(K150)&lt;&gt;"N",N(M150)&gt;0,UPPER(L150)="N"),"Pension not applicable, whole 12% goes to EPF. ","")&amp;IF(AND(ISNUMBER(H150),ABS(SUM(C150:G150)-N(H150))&gt;1),"Heads in the file add up to "&amp;SUM(C150:G150)&amp;", Gross is "&amp;H150&amp;" (a pay head may be missing). ","")&amp;IF(AND(Settings!$B$32,N(H150)&gt;0,ISNUMBER(M150),N(M150)&lt;H150*0.5-0.5),"50% check: PF wage is "&amp;TEXT(M150/H150,"0%")&amp;" of gross. ","")&amp;IF(AND(N(M150)&gt;0,UPPER(K150)&lt;&gt;"N",N(N150)+N(O150)=0),"No days to count. ","")))</f>
        <v/>
      </c>
    </row>
    <row r="151" customFormat="false" ht="15" hidden="false" customHeight="false" outlineLevel="0" collapsed="false">
      <c r="A151" s="14"/>
      <c r="B151" s="14"/>
      <c r="C151" s="17"/>
      <c r="D151" s="17"/>
      <c r="E151" s="17"/>
      <c r="F151" s="17"/>
      <c r="G151" s="17"/>
      <c r="H151" s="17"/>
      <c r="I151" s="14"/>
      <c r="J151" s="14"/>
      <c r="K151" s="14"/>
      <c r="L151" s="14"/>
      <c r="M151" s="34" t="str">
        <f aca="false">IF(COUNT(C151:H151)=0,"",IFERROR(MAX(0,ROUND(IF(Settings!$B$33,IF(H151="",SUM(C151:G151),H151)-SUMPRODUCT(($C$4:$G$4="Y")*C151:G151),SUMPRODUCT(($C$4:$G$4="Y")*C151:G151)),0)),"Check inputs"))</f>
        <v/>
      </c>
      <c r="N151" s="35" t="str">
        <f aca="false">IF(AND(N($M151)&gt;0,UPPER($K151)&lt;&gt;"N"),IF(Settings!$B$28,MAX(0,MIN(Settings!$B$16,IF(I151="",Settings!$B$16,I151)))/Settings!$B$15,1),"")</f>
        <v/>
      </c>
      <c r="O151" s="35" t="str">
        <f aca="false">IF(AND(N($M151)&gt;0,UPPER($K151)&lt;&gt;"N"),IF(Settings!$B$28,MAX(0,MIN(Settings!$B$17,IF(J151="",Settings!$B$17,J151)))/Settings!$B$15,0),"")</f>
        <v/>
      </c>
      <c r="P151" s="34" t="str">
        <f aca="false">IF(N151="","",ROUND(IF(Settings!$B$27,MIN($M151,Settings!$B$29),$M151)*N151,0))</f>
        <v/>
      </c>
      <c r="Q151" s="34" t="str">
        <f aca="false">IF(N151="","",ROUND(IF(Settings!$B$27,MIN($M151,Settings!$B$30),$M151)*O151,0))</f>
        <v/>
      </c>
      <c r="R151" s="34" t="str">
        <f aca="false">IF(N151="","",P151+Q151)</f>
        <v/>
      </c>
      <c r="S151" s="34" t="str">
        <f aca="false">IF(N151="","",ROUND(MIN($M151,Settings!$B$29)*N151,0)+ROUND(MIN($M151,Settings!$B$30)*O151,0))</f>
        <v/>
      </c>
      <c r="T151" s="34" t="str">
        <f aca="false">IF(N151="","",IF(UPPER(L151)="N",0,S151))</f>
        <v/>
      </c>
      <c r="U151" s="25" t="str">
        <f aca="false">IF(N151="","",ROUND(R151*Settings!$B$18,0))</f>
        <v/>
      </c>
      <c r="V151" s="25" t="str">
        <f aca="false">IF(N151="","",ROUND(R151*Settings!$B$19,0)-X151)</f>
        <v/>
      </c>
      <c r="W151" s="25" t="str">
        <f aca="false">IF(N151="","",IF(Settings!$B$31,ROUND(R151*Settings!$B$22,0),0))</f>
        <v/>
      </c>
      <c r="X151" s="25" t="str">
        <f aca="false">IF(N151="","",MIN(ROUND(T151*Settings!$B$20,0),ROUND(R151*Settings!$B$19,0)))</f>
        <v/>
      </c>
      <c r="Y151" s="25" t="str">
        <f aca="false">IF(N151="","",IF(Settings!$B$31,ROUND(S151*Settings!$B$21,0),0))</f>
        <v/>
      </c>
      <c r="Z151" s="25" t="str">
        <f aca="false">IF(N151="","",U151+V151+X151+W151+Y151)</f>
        <v/>
      </c>
      <c r="AA151" s="7" t="str">
        <f aca="false">IF(COUNT(C151:H151)=0,"",TRIM(IF(UPPER(K151)="N","Not a PF member, skipped. ","")&amp;IF(AND(UPPER(K151)&lt;&gt;"N",N(M151)&lt;=0),"PF wage is zero, skipped. ","")&amp;IF(AND(UPPER(K151)&lt;&gt;"N",N(M151)&gt;0,UPPER(L151)="N"),"Pension not applicable, whole 12% goes to EPF. ","")&amp;IF(AND(ISNUMBER(H151),ABS(SUM(C151:G151)-N(H151))&gt;1),"Heads in the file add up to "&amp;SUM(C151:G151)&amp;", Gross is "&amp;H151&amp;" (a pay head may be missing). ","")&amp;IF(AND(Settings!$B$32,N(H151)&gt;0,ISNUMBER(M151),N(M151)&lt;H151*0.5-0.5),"50% check: PF wage is "&amp;TEXT(M151/H151,"0%")&amp;" of gross. ","")&amp;IF(AND(N(M151)&gt;0,UPPER(K151)&lt;&gt;"N",N(N151)+N(O151)=0),"No days to count. ","")))</f>
        <v/>
      </c>
    </row>
    <row r="152" customFormat="false" ht="15" hidden="false" customHeight="false" outlineLevel="0" collapsed="false">
      <c r="A152" s="14"/>
      <c r="B152" s="14"/>
      <c r="C152" s="17"/>
      <c r="D152" s="17"/>
      <c r="E152" s="17"/>
      <c r="F152" s="17"/>
      <c r="G152" s="17"/>
      <c r="H152" s="17"/>
      <c r="I152" s="14"/>
      <c r="J152" s="14"/>
      <c r="K152" s="14"/>
      <c r="L152" s="14"/>
      <c r="M152" s="34" t="str">
        <f aca="false">IF(COUNT(C152:H152)=0,"",IFERROR(MAX(0,ROUND(IF(Settings!$B$33,IF(H152="",SUM(C152:G152),H152)-SUMPRODUCT(($C$4:$G$4="Y")*C152:G152),SUMPRODUCT(($C$4:$G$4="Y")*C152:G152)),0)),"Check inputs"))</f>
        <v/>
      </c>
      <c r="N152" s="35" t="str">
        <f aca="false">IF(AND(N($M152)&gt;0,UPPER($K152)&lt;&gt;"N"),IF(Settings!$B$28,MAX(0,MIN(Settings!$B$16,IF(I152="",Settings!$B$16,I152)))/Settings!$B$15,1),"")</f>
        <v/>
      </c>
      <c r="O152" s="35" t="str">
        <f aca="false">IF(AND(N($M152)&gt;0,UPPER($K152)&lt;&gt;"N"),IF(Settings!$B$28,MAX(0,MIN(Settings!$B$17,IF(J152="",Settings!$B$17,J152)))/Settings!$B$15,0),"")</f>
        <v/>
      </c>
      <c r="P152" s="34" t="str">
        <f aca="false">IF(N152="","",ROUND(IF(Settings!$B$27,MIN($M152,Settings!$B$29),$M152)*N152,0))</f>
        <v/>
      </c>
      <c r="Q152" s="34" t="str">
        <f aca="false">IF(N152="","",ROUND(IF(Settings!$B$27,MIN($M152,Settings!$B$30),$M152)*O152,0))</f>
        <v/>
      </c>
      <c r="R152" s="34" t="str">
        <f aca="false">IF(N152="","",P152+Q152)</f>
        <v/>
      </c>
      <c r="S152" s="34" t="str">
        <f aca="false">IF(N152="","",ROUND(MIN($M152,Settings!$B$29)*N152,0)+ROUND(MIN($M152,Settings!$B$30)*O152,0))</f>
        <v/>
      </c>
      <c r="T152" s="34" t="str">
        <f aca="false">IF(N152="","",IF(UPPER(L152)="N",0,S152))</f>
        <v/>
      </c>
      <c r="U152" s="25" t="str">
        <f aca="false">IF(N152="","",ROUND(R152*Settings!$B$18,0))</f>
        <v/>
      </c>
      <c r="V152" s="25" t="str">
        <f aca="false">IF(N152="","",ROUND(R152*Settings!$B$19,0)-X152)</f>
        <v/>
      </c>
      <c r="W152" s="25" t="str">
        <f aca="false">IF(N152="","",IF(Settings!$B$31,ROUND(R152*Settings!$B$22,0),0))</f>
        <v/>
      </c>
      <c r="X152" s="25" t="str">
        <f aca="false">IF(N152="","",MIN(ROUND(T152*Settings!$B$20,0),ROUND(R152*Settings!$B$19,0)))</f>
        <v/>
      </c>
      <c r="Y152" s="25" t="str">
        <f aca="false">IF(N152="","",IF(Settings!$B$31,ROUND(S152*Settings!$B$21,0),0))</f>
        <v/>
      </c>
      <c r="Z152" s="25" t="str">
        <f aca="false">IF(N152="","",U152+V152+X152+W152+Y152)</f>
        <v/>
      </c>
      <c r="AA152" s="7" t="str">
        <f aca="false">IF(COUNT(C152:H152)=0,"",TRIM(IF(UPPER(K152)="N","Not a PF member, skipped. ","")&amp;IF(AND(UPPER(K152)&lt;&gt;"N",N(M152)&lt;=0),"PF wage is zero, skipped. ","")&amp;IF(AND(UPPER(K152)&lt;&gt;"N",N(M152)&gt;0,UPPER(L152)="N"),"Pension not applicable, whole 12% goes to EPF. ","")&amp;IF(AND(ISNUMBER(H152),ABS(SUM(C152:G152)-N(H152))&gt;1),"Heads in the file add up to "&amp;SUM(C152:G152)&amp;", Gross is "&amp;H152&amp;" (a pay head may be missing). ","")&amp;IF(AND(Settings!$B$32,N(H152)&gt;0,ISNUMBER(M152),N(M152)&lt;H152*0.5-0.5),"50% check: PF wage is "&amp;TEXT(M152/H152,"0%")&amp;" of gross. ","")&amp;IF(AND(N(M152)&gt;0,UPPER(K152)&lt;&gt;"N",N(N152)+N(O152)=0),"No days to count. ","")))</f>
        <v/>
      </c>
    </row>
    <row r="153" customFormat="false" ht="15" hidden="false" customHeight="false" outlineLevel="0" collapsed="false">
      <c r="A153" s="14"/>
      <c r="B153" s="14"/>
      <c r="C153" s="17"/>
      <c r="D153" s="17"/>
      <c r="E153" s="17"/>
      <c r="F153" s="17"/>
      <c r="G153" s="17"/>
      <c r="H153" s="17"/>
      <c r="I153" s="14"/>
      <c r="J153" s="14"/>
      <c r="K153" s="14"/>
      <c r="L153" s="14"/>
      <c r="M153" s="34" t="str">
        <f aca="false">IF(COUNT(C153:H153)=0,"",IFERROR(MAX(0,ROUND(IF(Settings!$B$33,IF(H153="",SUM(C153:G153),H153)-SUMPRODUCT(($C$4:$G$4="Y")*C153:G153),SUMPRODUCT(($C$4:$G$4="Y")*C153:G153)),0)),"Check inputs"))</f>
        <v/>
      </c>
      <c r="N153" s="35" t="str">
        <f aca="false">IF(AND(N($M153)&gt;0,UPPER($K153)&lt;&gt;"N"),IF(Settings!$B$28,MAX(0,MIN(Settings!$B$16,IF(I153="",Settings!$B$16,I153)))/Settings!$B$15,1),"")</f>
        <v/>
      </c>
      <c r="O153" s="35" t="str">
        <f aca="false">IF(AND(N($M153)&gt;0,UPPER($K153)&lt;&gt;"N"),IF(Settings!$B$28,MAX(0,MIN(Settings!$B$17,IF(J153="",Settings!$B$17,J153)))/Settings!$B$15,0),"")</f>
        <v/>
      </c>
      <c r="P153" s="34" t="str">
        <f aca="false">IF(N153="","",ROUND(IF(Settings!$B$27,MIN($M153,Settings!$B$29),$M153)*N153,0))</f>
        <v/>
      </c>
      <c r="Q153" s="34" t="str">
        <f aca="false">IF(N153="","",ROUND(IF(Settings!$B$27,MIN($M153,Settings!$B$30),$M153)*O153,0))</f>
        <v/>
      </c>
      <c r="R153" s="34" t="str">
        <f aca="false">IF(N153="","",P153+Q153)</f>
        <v/>
      </c>
      <c r="S153" s="34" t="str">
        <f aca="false">IF(N153="","",ROUND(MIN($M153,Settings!$B$29)*N153,0)+ROUND(MIN($M153,Settings!$B$30)*O153,0))</f>
        <v/>
      </c>
      <c r="T153" s="34" t="str">
        <f aca="false">IF(N153="","",IF(UPPER(L153)="N",0,S153))</f>
        <v/>
      </c>
      <c r="U153" s="25" t="str">
        <f aca="false">IF(N153="","",ROUND(R153*Settings!$B$18,0))</f>
        <v/>
      </c>
      <c r="V153" s="25" t="str">
        <f aca="false">IF(N153="","",ROUND(R153*Settings!$B$19,0)-X153)</f>
        <v/>
      </c>
      <c r="W153" s="25" t="str">
        <f aca="false">IF(N153="","",IF(Settings!$B$31,ROUND(R153*Settings!$B$22,0),0))</f>
        <v/>
      </c>
      <c r="X153" s="25" t="str">
        <f aca="false">IF(N153="","",MIN(ROUND(T153*Settings!$B$20,0),ROUND(R153*Settings!$B$19,0)))</f>
        <v/>
      </c>
      <c r="Y153" s="25" t="str">
        <f aca="false">IF(N153="","",IF(Settings!$B$31,ROUND(S153*Settings!$B$21,0),0))</f>
        <v/>
      </c>
      <c r="Z153" s="25" t="str">
        <f aca="false">IF(N153="","",U153+V153+X153+W153+Y153)</f>
        <v/>
      </c>
      <c r="AA153" s="7" t="str">
        <f aca="false">IF(COUNT(C153:H153)=0,"",TRIM(IF(UPPER(K153)="N","Not a PF member, skipped. ","")&amp;IF(AND(UPPER(K153)&lt;&gt;"N",N(M153)&lt;=0),"PF wage is zero, skipped. ","")&amp;IF(AND(UPPER(K153)&lt;&gt;"N",N(M153)&gt;0,UPPER(L153)="N"),"Pension not applicable, whole 12% goes to EPF. ","")&amp;IF(AND(ISNUMBER(H153),ABS(SUM(C153:G153)-N(H153))&gt;1),"Heads in the file add up to "&amp;SUM(C153:G153)&amp;", Gross is "&amp;H153&amp;" (a pay head may be missing). ","")&amp;IF(AND(Settings!$B$32,N(H153)&gt;0,ISNUMBER(M153),N(M153)&lt;H153*0.5-0.5),"50% check: PF wage is "&amp;TEXT(M153/H153,"0%")&amp;" of gross. ","")&amp;IF(AND(N(M153)&gt;0,UPPER(K153)&lt;&gt;"N",N(N153)+N(O153)=0),"No days to count. ","")))</f>
        <v/>
      </c>
    </row>
    <row r="154" customFormat="false" ht="15" hidden="false" customHeight="false" outlineLevel="0" collapsed="false">
      <c r="A154" s="14"/>
      <c r="B154" s="14"/>
      <c r="C154" s="17"/>
      <c r="D154" s="17"/>
      <c r="E154" s="17"/>
      <c r="F154" s="17"/>
      <c r="G154" s="17"/>
      <c r="H154" s="17"/>
      <c r="I154" s="14"/>
      <c r="J154" s="14"/>
      <c r="K154" s="14"/>
      <c r="L154" s="14"/>
      <c r="M154" s="34" t="str">
        <f aca="false">IF(COUNT(C154:H154)=0,"",IFERROR(MAX(0,ROUND(IF(Settings!$B$33,IF(H154="",SUM(C154:G154),H154)-SUMPRODUCT(($C$4:$G$4="Y")*C154:G154),SUMPRODUCT(($C$4:$G$4="Y")*C154:G154)),0)),"Check inputs"))</f>
        <v/>
      </c>
      <c r="N154" s="35" t="str">
        <f aca="false">IF(AND(N($M154)&gt;0,UPPER($K154)&lt;&gt;"N"),IF(Settings!$B$28,MAX(0,MIN(Settings!$B$16,IF(I154="",Settings!$B$16,I154)))/Settings!$B$15,1),"")</f>
        <v/>
      </c>
      <c r="O154" s="35" t="str">
        <f aca="false">IF(AND(N($M154)&gt;0,UPPER($K154)&lt;&gt;"N"),IF(Settings!$B$28,MAX(0,MIN(Settings!$B$17,IF(J154="",Settings!$B$17,J154)))/Settings!$B$15,0),"")</f>
        <v/>
      </c>
      <c r="P154" s="34" t="str">
        <f aca="false">IF(N154="","",ROUND(IF(Settings!$B$27,MIN($M154,Settings!$B$29),$M154)*N154,0))</f>
        <v/>
      </c>
      <c r="Q154" s="34" t="str">
        <f aca="false">IF(N154="","",ROUND(IF(Settings!$B$27,MIN($M154,Settings!$B$30),$M154)*O154,0))</f>
        <v/>
      </c>
      <c r="R154" s="34" t="str">
        <f aca="false">IF(N154="","",P154+Q154)</f>
        <v/>
      </c>
      <c r="S154" s="34" t="str">
        <f aca="false">IF(N154="","",ROUND(MIN($M154,Settings!$B$29)*N154,0)+ROUND(MIN($M154,Settings!$B$30)*O154,0))</f>
        <v/>
      </c>
      <c r="T154" s="34" t="str">
        <f aca="false">IF(N154="","",IF(UPPER(L154)="N",0,S154))</f>
        <v/>
      </c>
      <c r="U154" s="25" t="str">
        <f aca="false">IF(N154="","",ROUND(R154*Settings!$B$18,0))</f>
        <v/>
      </c>
      <c r="V154" s="25" t="str">
        <f aca="false">IF(N154="","",ROUND(R154*Settings!$B$19,0)-X154)</f>
        <v/>
      </c>
      <c r="W154" s="25" t="str">
        <f aca="false">IF(N154="","",IF(Settings!$B$31,ROUND(R154*Settings!$B$22,0),0))</f>
        <v/>
      </c>
      <c r="X154" s="25" t="str">
        <f aca="false">IF(N154="","",MIN(ROUND(T154*Settings!$B$20,0),ROUND(R154*Settings!$B$19,0)))</f>
        <v/>
      </c>
      <c r="Y154" s="25" t="str">
        <f aca="false">IF(N154="","",IF(Settings!$B$31,ROUND(S154*Settings!$B$21,0),0))</f>
        <v/>
      </c>
      <c r="Z154" s="25" t="str">
        <f aca="false">IF(N154="","",U154+V154+X154+W154+Y154)</f>
        <v/>
      </c>
      <c r="AA154" s="7" t="str">
        <f aca="false">IF(COUNT(C154:H154)=0,"",TRIM(IF(UPPER(K154)="N","Not a PF member, skipped. ","")&amp;IF(AND(UPPER(K154)&lt;&gt;"N",N(M154)&lt;=0),"PF wage is zero, skipped. ","")&amp;IF(AND(UPPER(K154)&lt;&gt;"N",N(M154)&gt;0,UPPER(L154)="N"),"Pension not applicable, whole 12% goes to EPF. ","")&amp;IF(AND(ISNUMBER(H154),ABS(SUM(C154:G154)-N(H154))&gt;1),"Heads in the file add up to "&amp;SUM(C154:G154)&amp;", Gross is "&amp;H154&amp;" (a pay head may be missing). ","")&amp;IF(AND(Settings!$B$32,N(H154)&gt;0,ISNUMBER(M154),N(M154)&lt;H154*0.5-0.5),"50% check: PF wage is "&amp;TEXT(M154/H154,"0%")&amp;" of gross. ","")&amp;IF(AND(N(M154)&gt;0,UPPER(K154)&lt;&gt;"N",N(N154)+N(O154)=0),"No days to count. ","")))</f>
        <v/>
      </c>
    </row>
    <row r="155" customFormat="false" ht="15" hidden="false" customHeight="false" outlineLevel="0" collapsed="false">
      <c r="A155" s="14"/>
      <c r="B155" s="14"/>
      <c r="C155" s="17"/>
      <c r="D155" s="17"/>
      <c r="E155" s="17"/>
      <c r="F155" s="17"/>
      <c r="G155" s="17"/>
      <c r="H155" s="17"/>
      <c r="I155" s="14"/>
      <c r="J155" s="14"/>
      <c r="K155" s="14"/>
      <c r="L155" s="14"/>
      <c r="M155" s="34" t="str">
        <f aca="false">IF(COUNT(C155:H155)=0,"",IFERROR(MAX(0,ROUND(IF(Settings!$B$33,IF(H155="",SUM(C155:G155),H155)-SUMPRODUCT(($C$4:$G$4="Y")*C155:G155),SUMPRODUCT(($C$4:$G$4="Y")*C155:G155)),0)),"Check inputs"))</f>
        <v/>
      </c>
      <c r="N155" s="35" t="str">
        <f aca="false">IF(AND(N($M155)&gt;0,UPPER($K155)&lt;&gt;"N"),IF(Settings!$B$28,MAX(0,MIN(Settings!$B$16,IF(I155="",Settings!$B$16,I155)))/Settings!$B$15,1),"")</f>
        <v/>
      </c>
      <c r="O155" s="35" t="str">
        <f aca="false">IF(AND(N($M155)&gt;0,UPPER($K155)&lt;&gt;"N"),IF(Settings!$B$28,MAX(0,MIN(Settings!$B$17,IF(J155="",Settings!$B$17,J155)))/Settings!$B$15,0),"")</f>
        <v/>
      </c>
      <c r="P155" s="34" t="str">
        <f aca="false">IF(N155="","",ROUND(IF(Settings!$B$27,MIN($M155,Settings!$B$29),$M155)*N155,0))</f>
        <v/>
      </c>
      <c r="Q155" s="34" t="str">
        <f aca="false">IF(N155="","",ROUND(IF(Settings!$B$27,MIN($M155,Settings!$B$30),$M155)*O155,0))</f>
        <v/>
      </c>
      <c r="R155" s="34" t="str">
        <f aca="false">IF(N155="","",P155+Q155)</f>
        <v/>
      </c>
      <c r="S155" s="34" t="str">
        <f aca="false">IF(N155="","",ROUND(MIN($M155,Settings!$B$29)*N155,0)+ROUND(MIN($M155,Settings!$B$30)*O155,0))</f>
        <v/>
      </c>
      <c r="T155" s="34" t="str">
        <f aca="false">IF(N155="","",IF(UPPER(L155)="N",0,S155))</f>
        <v/>
      </c>
      <c r="U155" s="25" t="str">
        <f aca="false">IF(N155="","",ROUND(R155*Settings!$B$18,0))</f>
        <v/>
      </c>
      <c r="V155" s="25" t="str">
        <f aca="false">IF(N155="","",ROUND(R155*Settings!$B$19,0)-X155)</f>
        <v/>
      </c>
      <c r="W155" s="25" t="str">
        <f aca="false">IF(N155="","",IF(Settings!$B$31,ROUND(R155*Settings!$B$22,0),0))</f>
        <v/>
      </c>
      <c r="X155" s="25" t="str">
        <f aca="false">IF(N155="","",MIN(ROUND(T155*Settings!$B$20,0),ROUND(R155*Settings!$B$19,0)))</f>
        <v/>
      </c>
      <c r="Y155" s="25" t="str">
        <f aca="false">IF(N155="","",IF(Settings!$B$31,ROUND(S155*Settings!$B$21,0),0))</f>
        <v/>
      </c>
      <c r="Z155" s="25" t="str">
        <f aca="false">IF(N155="","",U155+V155+X155+W155+Y155)</f>
        <v/>
      </c>
      <c r="AA155" s="7" t="str">
        <f aca="false">IF(COUNT(C155:H155)=0,"",TRIM(IF(UPPER(K155)="N","Not a PF member, skipped. ","")&amp;IF(AND(UPPER(K155)&lt;&gt;"N",N(M155)&lt;=0),"PF wage is zero, skipped. ","")&amp;IF(AND(UPPER(K155)&lt;&gt;"N",N(M155)&gt;0,UPPER(L155)="N"),"Pension not applicable, whole 12% goes to EPF. ","")&amp;IF(AND(ISNUMBER(H155),ABS(SUM(C155:G155)-N(H155))&gt;1),"Heads in the file add up to "&amp;SUM(C155:G155)&amp;", Gross is "&amp;H155&amp;" (a pay head may be missing). ","")&amp;IF(AND(Settings!$B$32,N(H155)&gt;0,ISNUMBER(M155),N(M155)&lt;H155*0.5-0.5),"50% check: PF wage is "&amp;TEXT(M155/H155,"0%")&amp;" of gross. ","")&amp;IF(AND(N(M155)&gt;0,UPPER(K155)&lt;&gt;"N",N(N155)+N(O155)=0),"No days to count. ","")))</f>
        <v/>
      </c>
    </row>
    <row r="156" customFormat="false" ht="15" hidden="false" customHeight="false" outlineLevel="0" collapsed="false">
      <c r="A156" s="14"/>
      <c r="B156" s="14"/>
      <c r="C156" s="17"/>
      <c r="D156" s="17"/>
      <c r="E156" s="17"/>
      <c r="F156" s="17"/>
      <c r="G156" s="17"/>
      <c r="H156" s="17"/>
      <c r="I156" s="14"/>
      <c r="J156" s="14"/>
      <c r="K156" s="14"/>
      <c r="L156" s="14"/>
      <c r="M156" s="34" t="str">
        <f aca="false">IF(COUNT(C156:H156)=0,"",IFERROR(MAX(0,ROUND(IF(Settings!$B$33,IF(H156="",SUM(C156:G156),H156)-SUMPRODUCT(($C$4:$G$4="Y")*C156:G156),SUMPRODUCT(($C$4:$G$4="Y")*C156:G156)),0)),"Check inputs"))</f>
        <v/>
      </c>
      <c r="N156" s="35" t="str">
        <f aca="false">IF(AND(N($M156)&gt;0,UPPER($K156)&lt;&gt;"N"),IF(Settings!$B$28,MAX(0,MIN(Settings!$B$16,IF(I156="",Settings!$B$16,I156)))/Settings!$B$15,1),"")</f>
        <v/>
      </c>
      <c r="O156" s="35" t="str">
        <f aca="false">IF(AND(N($M156)&gt;0,UPPER($K156)&lt;&gt;"N"),IF(Settings!$B$28,MAX(0,MIN(Settings!$B$17,IF(J156="",Settings!$B$17,J156)))/Settings!$B$15,0),"")</f>
        <v/>
      </c>
      <c r="P156" s="34" t="str">
        <f aca="false">IF(N156="","",ROUND(IF(Settings!$B$27,MIN($M156,Settings!$B$29),$M156)*N156,0))</f>
        <v/>
      </c>
      <c r="Q156" s="34" t="str">
        <f aca="false">IF(N156="","",ROUND(IF(Settings!$B$27,MIN($M156,Settings!$B$30),$M156)*O156,0))</f>
        <v/>
      </c>
      <c r="R156" s="34" t="str">
        <f aca="false">IF(N156="","",P156+Q156)</f>
        <v/>
      </c>
      <c r="S156" s="34" t="str">
        <f aca="false">IF(N156="","",ROUND(MIN($M156,Settings!$B$29)*N156,0)+ROUND(MIN($M156,Settings!$B$30)*O156,0))</f>
        <v/>
      </c>
      <c r="T156" s="34" t="str">
        <f aca="false">IF(N156="","",IF(UPPER(L156)="N",0,S156))</f>
        <v/>
      </c>
      <c r="U156" s="25" t="str">
        <f aca="false">IF(N156="","",ROUND(R156*Settings!$B$18,0))</f>
        <v/>
      </c>
      <c r="V156" s="25" t="str">
        <f aca="false">IF(N156="","",ROUND(R156*Settings!$B$19,0)-X156)</f>
        <v/>
      </c>
      <c r="W156" s="25" t="str">
        <f aca="false">IF(N156="","",IF(Settings!$B$31,ROUND(R156*Settings!$B$22,0),0))</f>
        <v/>
      </c>
      <c r="X156" s="25" t="str">
        <f aca="false">IF(N156="","",MIN(ROUND(T156*Settings!$B$20,0),ROUND(R156*Settings!$B$19,0)))</f>
        <v/>
      </c>
      <c r="Y156" s="25" t="str">
        <f aca="false">IF(N156="","",IF(Settings!$B$31,ROUND(S156*Settings!$B$21,0),0))</f>
        <v/>
      </c>
      <c r="Z156" s="25" t="str">
        <f aca="false">IF(N156="","",U156+V156+X156+W156+Y156)</f>
        <v/>
      </c>
      <c r="AA156" s="7" t="str">
        <f aca="false">IF(COUNT(C156:H156)=0,"",TRIM(IF(UPPER(K156)="N","Not a PF member, skipped. ","")&amp;IF(AND(UPPER(K156)&lt;&gt;"N",N(M156)&lt;=0),"PF wage is zero, skipped. ","")&amp;IF(AND(UPPER(K156)&lt;&gt;"N",N(M156)&gt;0,UPPER(L156)="N"),"Pension not applicable, whole 12% goes to EPF. ","")&amp;IF(AND(ISNUMBER(H156),ABS(SUM(C156:G156)-N(H156))&gt;1),"Heads in the file add up to "&amp;SUM(C156:G156)&amp;", Gross is "&amp;H156&amp;" (a pay head may be missing). ","")&amp;IF(AND(Settings!$B$32,N(H156)&gt;0,ISNUMBER(M156),N(M156)&lt;H156*0.5-0.5),"50% check: PF wage is "&amp;TEXT(M156/H156,"0%")&amp;" of gross. ","")&amp;IF(AND(N(M156)&gt;0,UPPER(K156)&lt;&gt;"N",N(N156)+N(O156)=0),"No days to count. ","")))</f>
        <v/>
      </c>
    </row>
    <row r="157" customFormat="false" ht="15" hidden="false" customHeight="false" outlineLevel="0" collapsed="false">
      <c r="A157" s="14"/>
      <c r="B157" s="14"/>
      <c r="C157" s="17"/>
      <c r="D157" s="17"/>
      <c r="E157" s="17"/>
      <c r="F157" s="17"/>
      <c r="G157" s="17"/>
      <c r="H157" s="17"/>
      <c r="I157" s="14"/>
      <c r="J157" s="14"/>
      <c r="K157" s="14"/>
      <c r="L157" s="14"/>
      <c r="M157" s="34" t="str">
        <f aca="false">IF(COUNT(C157:H157)=0,"",IFERROR(MAX(0,ROUND(IF(Settings!$B$33,IF(H157="",SUM(C157:G157),H157)-SUMPRODUCT(($C$4:$G$4="Y")*C157:G157),SUMPRODUCT(($C$4:$G$4="Y")*C157:G157)),0)),"Check inputs"))</f>
        <v/>
      </c>
      <c r="N157" s="35" t="str">
        <f aca="false">IF(AND(N($M157)&gt;0,UPPER($K157)&lt;&gt;"N"),IF(Settings!$B$28,MAX(0,MIN(Settings!$B$16,IF(I157="",Settings!$B$16,I157)))/Settings!$B$15,1),"")</f>
        <v/>
      </c>
      <c r="O157" s="35" t="str">
        <f aca="false">IF(AND(N($M157)&gt;0,UPPER($K157)&lt;&gt;"N"),IF(Settings!$B$28,MAX(0,MIN(Settings!$B$17,IF(J157="",Settings!$B$17,J157)))/Settings!$B$15,0),"")</f>
        <v/>
      </c>
      <c r="P157" s="34" t="str">
        <f aca="false">IF(N157="","",ROUND(IF(Settings!$B$27,MIN($M157,Settings!$B$29),$M157)*N157,0))</f>
        <v/>
      </c>
      <c r="Q157" s="34" t="str">
        <f aca="false">IF(N157="","",ROUND(IF(Settings!$B$27,MIN($M157,Settings!$B$30),$M157)*O157,0))</f>
        <v/>
      </c>
      <c r="R157" s="34" t="str">
        <f aca="false">IF(N157="","",P157+Q157)</f>
        <v/>
      </c>
      <c r="S157" s="34" t="str">
        <f aca="false">IF(N157="","",ROUND(MIN($M157,Settings!$B$29)*N157,0)+ROUND(MIN($M157,Settings!$B$30)*O157,0))</f>
        <v/>
      </c>
      <c r="T157" s="34" t="str">
        <f aca="false">IF(N157="","",IF(UPPER(L157)="N",0,S157))</f>
        <v/>
      </c>
      <c r="U157" s="25" t="str">
        <f aca="false">IF(N157="","",ROUND(R157*Settings!$B$18,0))</f>
        <v/>
      </c>
      <c r="V157" s="25" t="str">
        <f aca="false">IF(N157="","",ROUND(R157*Settings!$B$19,0)-X157)</f>
        <v/>
      </c>
      <c r="W157" s="25" t="str">
        <f aca="false">IF(N157="","",IF(Settings!$B$31,ROUND(R157*Settings!$B$22,0),0))</f>
        <v/>
      </c>
      <c r="X157" s="25" t="str">
        <f aca="false">IF(N157="","",MIN(ROUND(T157*Settings!$B$20,0),ROUND(R157*Settings!$B$19,0)))</f>
        <v/>
      </c>
      <c r="Y157" s="25" t="str">
        <f aca="false">IF(N157="","",IF(Settings!$B$31,ROUND(S157*Settings!$B$21,0),0))</f>
        <v/>
      </c>
      <c r="Z157" s="25" t="str">
        <f aca="false">IF(N157="","",U157+V157+X157+W157+Y157)</f>
        <v/>
      </c>
      <c r="AA157" s="7" t="str">
        <f aca="false">IF(COUNT(C157:H157)=0,"",TRIM(IF(UPPER(K157)="N","Not a PF member, skipped. ","")&amp;IF(AND(UPPER(K157)&lt;&gt;"N",N(M157)&lt;=0),"PF wage is zero, skipped. ","")&amp;IF(AND(UPPER(K157)&lt;&gt;"N",N(M157)&gt;0,UPPER(L157)="N"),"Pension not applicable, whole 12% goes to EPF. ","")&amp;IF(AND(ISNUMBER(H157),ABS(SUM(C157:G157)-N(H157))&gt;1),"Heads in the file add up to "&amp;SUM(C157:G157)&amp;", Gross is "&amp;H157&amp;" (a pay head may be missing). ","")&amp;IF(AND(Settings!$B$32,N(H157)&gt;0,ISNUMBER(M157),N(M157)&lt;H157*0.5-0.5),"50% check: PF wage is "&amp;TEXT(M157/H157,"0%")&amp;" of gross. ","")&amp;IF(AND(N(M157)&gt;0,UPPER(K157)&lt;&gt;"N",N(N157)+N(O157)=0),"No days to count. ","")))</f>
        <v/>
      </c>
    </row>
    <row r="158" customFormat="false" ht="15" hidden="false" customHeight="false" outlineLevel="0" collapsed="false">
      <c r="A158" s="14"/>
      <c r="B158" s="14"/>
      <c r="C158" s="17"/>
      <c r="D158" s="17"/>
      <c r="E158" s="17"/>
      <c r="F158" s="17"/>
      <c r="G158" s="17"/>
      <c r="H158" s="17"/>
      <c r="I158" s="14"/>
      <c r="J158" s="14"/>
      <c r="K158" s="14"/>
      <c r="L158" s="14"/>
      <c r="M158" s="34" t="str">
        <f aca="false">IF(COUNT(C158:H158)=0,"",IFERROR(MAX(0,ROUND(IF(Settings!$B$33,IF(H158="",SUM(C158:G158),H158)-SUMPRODUCT(($C$4:$G$4="Y")*C158:G158),SUMPRODUCT(($C$4:$G$4="Y")*C158:G158)),0)),"Check inputs"))</f>
        <v/>
      </c>
      <c r="N158" s="35" t="str">
        <f aca="false">IF(AND(N($M158)&gt;0,UPPER($K158)&lt;&gt;"N"),IF(Settings!$B$28,MAX(0,MIN(Settings!$B$16,IF(I158="",Settings!$B$16,I158)))/Settings!$B$15,1),"")</f>
        <v/>
      </c>
      <c r="O158" s="35" t="str">
        <f aca="false">IF(AND(N($M158)&gt;0,UPPER($K158)&lt;&gt;"N"),IF(Settings!$B$28,MAX(0,MIN(Settings!$B$17,IF(J158="",Settings!$B$17,J158)))/Settings!$B$15,0),"")</f>
        <v/>
      </c>
      <c r="P158" s="34" t="str">
        <f aca="false">IF(N158="","",ROUND(IF(Settings!$B$27,MIN($M158,Settings!$B$29),$M158)*N158,0))</f>
        <v/>
      </c>
      <c r="Q158" s="34" t="str">
        <f aca="false">IF(N158="","",ROUND(IF(Settings!$B$27,MIN($M158,Settings!$B$30),$M158)*O158,0))</f>
        <v/>
      </c>
      <c r="R158" s="34" t="str">
        <f aca="false">IF(N158="","",P158+Q158)</f>
        <v/>
      </c>
      <c r="S158" s="34" t="str">
        <f aca="false">IF(N158="","",ROUND(MIN($M158,Settings!$B$29)*N158,0)+ROUND(MIN($M158,Settings!$B$30)*O158,0))</f>
        <v/>
      </c>
      <c r="T158" s="34" t="str">
        <f aca="false">IF(N158="","",IF(UPPER(L158)="N",0,S158))</f>
        <v/>
      </c>
      <c r="U158" s="25" t="str">
        <f aca="false">IF(N158="","",ROUND(R158*Settings!$B$18,0))</f>
        <v/>
      </c>
      <c r="V158" s="25" t="str">
        <f aca="false">IF(N158="","",ROUND(R158*Settings!$B$19,0)-X158)</f>
        <v/>
      </c>
      <c r="W158" s="25" t="str">
        <f aca="false">IF(N158="","",IF(Settings!$B$31,ROUND(R158*Settings!$B$22,0),0))</f>
        <v/>
      </c>
      <c r="X158" s="25" t="str">
        <f aca="false">IF(N158="","",MIN(ROUND(T158*Settings!$B$20,0),ROUND(R158*Settings!$B$19,0)))</f>
        <v/>
      </c>
      <c r="Y158" s="25" t="str">
        <f aca="false">IF(N158="","",IF(Settings!$B$31,ROUND(S158*Settings!$B$21,0),0))</f>
        <v/>
      </c>
      <c r="Z158" s="25" t="str">
        <f aca="false">IF(N158="","",U158+V158+X158+W158+Y158)</f>
        <v/>
      </c>
      <c r="AA158" s="7" t="str">
        <f aca="false">IF(COUNT(C158:H158)=0,"",TRIM(IF(UPPER(K158)="N","Not a PF member, skipped. ","")&amp;IF(AND(UPPER(K158)&lt;&gt;"N",N(M158)&lt;=0),"PF wage is zero, skipped. ","")&amp;IF(AND(UPPER(K158)&lt;&gt;"N",N(M158)&gt;0,UPPER(L158)="N"),"Pension not applicable, whole 12% goes to EPF. ","")&amp;IF(AND(ISNUMBER(H158),ABS(SUM(C158:G158)-N(H158))&gt;1),"Heads in the file add up to "&amp;SUM(C158:G158)&amp;", Gross is "&amp;H158&amp;" (a pay head may be missing). ","")&amp;IF(AND(Settings!$B$32,N(H158)&gt;0,ISNUMBER(M158),N(M158)&lt;H158*0.5-0.5),"50% check: PF wage is "&amp;TEXT(M158/H158,"0%")&amp;" of gross. ","")&amp;IF(AND(N(M158)&gt;0,UPPER(K158)&lt;&gt;"N",N(N158)+N(O158)=0),"No days to count. ","")))</f>
        <v/>
      </c>
    </row>
    <row r="159" customFormat="false" ht="15" hidden="false" customHeight="false" outlineLevel="0" collapsed="false">
      <c r="A159" s="14"/>
      <c r="B159" s="14"/>
      <c r="C159" s="17"/>
      <c r="D159" s="17"/>
      <c r="E159" s="17"/>
      <c r="F159" s="17"/>
      <c r="G159" s="17"/>
      <c r="H159" s="17"/>
      <c r="I159" s="14"/>
      <c r="J159" s="14"/>
      <c r="K159" s="14"/>
      <c r="L159" s="14"/>
      <c r="M159" s="34" t="str">
        <f aca="false">IF(COUNT(C159:H159)=0,"",IFERROR(MAX(0,ROUND(IF(Settings!$B$33,IF(H159="",SUM(C159:G159),H159)-SUMPRODUCT(($C$4:$G$4="Y")*C159:G159),SUMPRODUCT(($C$4:$G$4="Y")*C159:G159)),0)),"Check inputs"))</f>
        <v/>
      </c>
      <c r="N159" s="35" t="str">
        <f aca="false">IF(AND(N($M159)&gt;0,UPPER($K159)&lt;&gt;"N"),IF(Settings!$B$28,MAX(0,MIN(Settings!$B$16,IF(I159="",Settings!$B$16,I159)))/Settings!$B$15,1),"")</f>
        <v/>
      </c>
      <c r="O159" s="35" t="str">
        <f aca="false">IF(AND(N($M159)&gt;0,UPPER($K159)&lt;&gt;"N"),IF(Settings!$B$28,MAX(0,MIN(Settings!$B$17,IF(J159="",Settings!$B$17,J159)))/Settings!$B$15,0),"")</f>
        <v/>
      </c>
      <c r="P159" s="34" t="str">
        <f aca="false">IF(N159="","",ROUND(IF(Settings!$B$27,MIN($M159,Settings!$B$29),$M159)*N159,0))</f>
        <v/>
      </c>
      <c r="Q159" s="34" t="str">
        <f aca="false">IF(N159="","",ROUND(IF(Settings!$B$27,MIN($M159,Settings!$B$30),$M159)*O159,0))</f>
        <v/>
      </c>
      <c r="R159" s="34" t="str">
        <f aca="false">IF(N159="","",P159+Q159)</f>
        <v/>
      </c>
      <c r="S159" s="34" t="str">
        <f aca="false">IF(N159="","",ROUND(MIN($M159,Settings!$B$29)*N159,0)+ROUND(MIN($M159,Settings!$B$30)*O159,0))</f>
        <v/>
      </c>
      <c r="T159" s="34" t="str">
        <f aca="false">IF(N159="","",IF(UPPER(L159)="N",0,S159))</f>
        <v/>
      </c>
      <c r="U159" s="25" t="str">
        <f aca="false">IF(N159="","",ROUND(R159*Settings!$B$18,0))</f>
        <v/>
      </c>
      <c r="V159" s="25" t="str">
        <f aca="false">IF(N159="","",ROUND(R159*Settings!$B$19,0)-X159)</f>
        <v/>
      </c>
      <c r="W159" s="25" t="str">
        <f aca="false">IF(N159="","",IF(Settings!$B$31,ROUND(R159*Settings!$B$22,0),0))</f>
        <v/>
      </c>
      <c r="X159" s="25" t="str">
        <f aca="false">IF(N159="","",MIN(ROUND(T159*Settings!$B$20,0),ROUND(R159*Settings!$B$19,0)))</f>
        <v/>
      </c>
      <c r="Y159" s="25" t="str">
        <f aca="false">IF(N159="","",IF(Settings!$B$31,ROUND(S159*Settings!$B$21,0),0))</f>
        <v/>
      </c>
      <c r="Z159" s="25" t="str">
        <f aca="false">IF(N159="","",U159+V159+X159+W159+Y159)</f>
        <v/>
      </c>
      <c r="AA159" s="7" t="str">
        <f aca="false">IF(COUNT(C159:H159)=0,"",TRIM(IF(UPPER(K159)="N","Not a PF member, skipped. ","")&amp;IF(AND(UPPER(K159)&lt;&gt;"N",N(M159)&lt;=0),"PF wage is zero, skipped. ","")&amp;IF(AND(UPPER(K159)&lt;&gt;"N",N(M159)&gt;0,UPPER(L159)="N"),"Pension not applicable, whole 12% goes to EPF. ","")&amp;IF(AND(ISNUMBER(H159),ABS(SUM(C159:G159)-N(H159))&gt;1),"Heads in the file add up to "&amp;SUM(C159:G159)&amp;", Gross is "&amp;H159&amp;" (a pay head may be missing). ","")&amp;IF(AND(Settings!$B$32,N(H159)&gt;0,ISNUMBER(M159),N(M159)&lt;H159*0.5-0.5),"50% check: PF wage is "&amp;TEXT(M159/H159,"0%")&amp;" of gross. ","")&amp;IF(AND(N(M159)&gt;0,UPPER(K159)&lt;&gt;"N",N(N159)+N(O159)=0),"No days to count. ","")))</f>
        <v/>
      </c>
    </row>
    <row r="160" customFormat="false" ht="15" hidden="false" customHeight="false" outlineLevel="0" collapsed="false">
      <c r="A160" s="14"/>
      <c r="B160" s="14"/>
      <c r="C160" s="17"/>
      <c r="D160" s="17"/>
      <c r="E160" s="17"/>
      <c r="F160" s="17"/>
      <c r="G160" s="17"/>
      <c r="H160" s="17"/>
      <c r="I160" s="14"/>
      <c r="J160" s="14"/>
      <c r="K160" s="14"/>
      <c r="L160" s="14"/>
      <c r="M160" s="34" t="str">
        <f aca="false">IF(COUNT(C160:H160)=0,"",IFERROR(MAX(0,ROUND(IF(Settings!$B$33,IF(H160="",SUM(C160:G160),H160)-SUMPRODUCT(($C$4:$G$4="Y")*C160:G160),SUMPRODUCT(($C$4:$G$4="Y")*C160:G160)),0)),"Check inputs"))</f>
        <v/>
      </c>
      <c r="N160" s="35" t="str">
        <f aca="false">IF(AND(N($M160)&gt;0,UPPER($K160)&lt;&gt;"N"),IF(Settings!$B$28,MAX(0,MIN(Settings!$B$16,IF(I160="",Settings!$B$16,I160)))/Settings!$B$15,1),"")</f>
        <v/>
      </c>
      <c r="O160" s="35" t="str">
        <f aca="false">IF(AND(N($M160)&gt;0,UPPER($K160)&lt;&gt;"N"),IF(Settings!$B$28,MAX(0,MIN(Settings!$B$17,IF(J160="",Settings!$B$17,J160)))/Settings!$B$15,0),"")</f>
        <v/>
      </c>
      <c r="P160" s="34" t="str">
        <f aca="false">IF(N160="","",ROUND(IF(Settings!$B$27,MIN($M160,Settings!$B$29),$M160)*N160,0))</f>
        <v/>
      </c>
      <c r="Q160" s="34" t="str">
        <f aca="false">IF(N160="","",ROUND(IF(Settings!$B$27,MIN($M160,Settings!$B$30),$M160)*O160,0))</f>
        <v/>
      </c>
      <c r="R160" s="34" t="str">
        <f aca="false">IF(N160="","",P160+Q160)</f>
        <v/>
      </c>
      <c r="S160" s="34" t="str">
        <f aca="false">IF(N160="","",ROUND(MIN($M160,Settings!$B$29)*N160,0)+ROUND(MIN($M160,Settings!$B$30)*O160,0))</f>
        <v/>
      </c>
      <c r="T160" s="34" t="str">
        <f aca="false">IF(N160="","",IF(UPPER(L160)="N",0,S160))</f>
        <v/>
      </c>
      <c r="U160" s="25" t="str">
        <f aca="false">IF(N160="","",ROUND(R160*Settings!$B$18,0))</f>
        <v/>
      </c>
      <c r="V160" s="25" t="str">
        <f aca="false">IF(N160="","",ROUND(R160*Settings!$B$19,0)-X160)</f>
        <v/>
      </c>
      <c r="W160" s="25" t="str">
        <f aca="false">IF(N160="","",IF(Settings!$B$31,ROUND(R160*Settings!$B$22,0),0))</f>
        <v/>
      </c>
      <c r="X160" s="25" t="str">
        <f aca="false">IF(N160="","",MIN(ROUND(T160*Settings!$B$20,0),ROUND(R160*Settings!$B$19,0)))</f>
        <v/>
      </c>
      <c r="Y160" s="25" t="str">
        <f aca="false">IF(N160="","",IF(Settings!$B$31,ROUND(S160*Settings!$B$21,0),0))</f>
        <v/>
      </c>
      <c r="Z160" s="25" t="str">
        <f aca="false">IF(N160="","",U160+V160+X160+W160+Y160)</f>
        <v/>
      </c>
      <c r="AA160" s="7" t="str">
        <f aca="false">IF(COUNT(C160:H160)=0,"",TRIM(IF(UPPER(K160)="N","Not a PF member, skipped. ","")&amp;IF(AND(UPPER(K160)&lt;&gt;"N",N(M160)&lt;=0),"PF wage is zero, skipped. ","")&amp;IF(AND(UPPER(K160)&lt;&gt;"N",N(M160)&gt;0,UPPER(L160)="N"),"Pension not applicable, whole 12% goes to EPF. ","")&amp;IF(AND(ISNUMBER(H160),ABS(SUM(C160:G160)-N(H160))&gt;1),"Heads in the file add up to "&amp;SUM(C160:G160)&amp;", Gross is "&amp;H160&amp;" (a pay head may be missing). ","")&amp;IF(AND(Settings!$B$32,N(H160)&gt;0,ISNUMBER(M160),N(M160)&lt;H160*0.5-0.5),"50% check: PF wage is "&amp;TEXT(M160/H160,"0%")&amp;" of gross. ","")&amp;IF(AND(N(M160)&gt;0,UPPER(K160)&lt;&gt;"N",N(N160)+N(O160)=0),"No days to count. ","")))</f>
        <v/>
      </c>
    </row>
    <row r="161" customFormat="false" ht="15" hidden="false" customHeight="false" outlineLevel="0" collapsed="false">
      <c r="A161" s="14"/>
      <c r="B161" s="14"/>
      <c r="C161" s="17"/>
      <c r="D161" s="17"/>
      <c r="E161" s="17"/>
      <c r="F161" s="17"/>
      <c r="G161" s="17"/>
      <c r="H161" s="17"/>
      <c r="I161" s="14"/>
      <c r="J161" s="14"/>
      <c r="K161" s="14"/>
      <c r="L161" s="14"/>
      <c r="M161" s="34" t="str">
        <f aca="false">IF(COUNT(C161:H161)=0,"",IFERROR(MAX(0,ROUND(IF(Settings!$B$33,IF(H161="",SUM(C161:G161),H161)-SUMPRODUCT(($C$4:$G$4="Y")*C161:G161),SUMPRODUCT(($C$4:$G$4="Y")*C161:G161)),0)),"Check inputs"))</f>
        <v/>
      </c>
      <c r="N161" s="35" t="str">
        <f aca="false">IF(AND(N($M161)&gt;0,UPPER($K161)&lt;&gt;"N"),IF(Settings!$B$28,MAX(0,MIN(Settings!$B$16,IF(I161="",Settings!$B$16,I161)))/Settings!$B$15,1),"")</f>
        <v/>
      </c>
      <c r="O161" s="35" t="str">
        <f aca="false">IF(AND(N($M161)&gt;0,UPPER($K161)&lt;&gt;"N"),IF(Settings!$B$28,MAX(0,MIN(Settings!$B$17,IF(J161="",Settings!$B$17,J161)))/Settings!$B$15,0),"")</f>
        <v/>
      </c>
      <c r="P161" s="34" t="str">
        <f aca="false">IF(N161="","",ROUND(IF(Settings!$B$27,MIN($M161,Settings!$B$29),$M161)*N161,0))</f>
        <v/>
      </c>
      <c r="Q161" s="34" t="str">
        <f aca="false">IF(N161="","",ROUND(IF(Settings!$B$27,MIN($M161,Settings!$B$30),$M161)*O161,0))</f>
        <v/>
      </c>
      <c r="R161" s="34" t="str">
        <f aca="false">IF(N161="","",P161+Q161)</f>
        <v/>
      </c>
      <c r="S161" s="34" t="str">
        <f aca="false">IF(N161="","",ROUND(MIN($M161,Settings!$B$29)*N161,0)+ROUND(MIN($M161,Settings!$B$30)*O161,0))</f>
        <v/>
      </c>
      <c r="T161" s="34" t="str">
        <f aca="false">IF(N161="","",IF(UPPER(L161)="N",0,S161))</f>
        <v/>
      </c>
      <c r="U161" s="25" t="str">
        <f aca="false">IF(N161="","",ROUND(R161*Settings!$B$18,0))</f>
        <v/>
      </c>
      <c r="V161" s="25" t="str">
        <f aca="false">IF(N161="","",ROUND(R161*Settings!$B$19,0)-X161)</f>
        <v/>
      </c>
      <c r="W161" s="25" t="str">
        <f aca="false">IF(N161="","",IF(Settings!$B$31,ROUND(R161*Settings!$B$22,0),0))</f>
        <v/>
      </c>
      <c r="X161" s="25" t="str">
        <f aca="false">IF(N161="","",MIN(ROUND(T161*Settings!$B$20,0),ROUND(R161*Settings!$B$19,0)))</f>
        <v/>
      </c>
      <c r="Y161" s="25" t="str">
        <f aca="false">IF(N161="","",IF(Settings!$B$31,ROUND(S161*Settings!$B$21,0),0))</f>
        <v/>
      </c>
      <c r="Z161" s="25" t="str">
        <f aca="false">IF(N161="","",U161+V161+X161+W161+Y161)</f>
        <v/>
      </c>
      <c r="AA161" s="7" t="str">
        <f aca="false">IF(COUNT(C161:H161)=0,"",TRIM(IF(UPPER(K161)="N","Not a PF member, skipped. ","")&amp;IF(AND(UPPER(K161)&lt;&gt;"N",N(M161)&lt;=0),"PF wage is zero, skipped. ","")&amp;IF(AND(UPPER(K161)&lt;&gt;"N",N(M161)&gt;0,UPPER(L161)="N"),"Pension not applicable, whole 12% goes to EPF. ","")&amp;IF(AND(ISNUMBER(H161),ABS(SUM(C161:G161)-N(H161))&gt;1),"Heads in the file add up to "&amp;SUM(C161:G161)&amp;", Gross is "&amp;H161&amp;" (a pay head may be missing). ","")&amp;IF(AND(Settings!$B$32,N(H161)&gt;0,ISNUMBER(M161),N(M161)&lt;H161*0.5-0.5),"50% check: PF wage is "&amp;TEXT(M161/H161,"0%")&amp;" of gross. ","")&amp;IF(AND(N(M161)&gt;0,UPPER(K161)&lt;&gt;"N",N(N161)+N(O161)=0),"No days to count. ","")))</f>
        <v/>
      </c>
    </row>
    <row r="162" customFormat="false" ht="15" hidden="false" customHeight="false" outlineLevel="0" collapsed="false">
      <c r="A162" s="14"/>
      <c r="B162" s="14"/>
      <c r="C162" s="17"/>
      <c r="D162" s="17"/>
      <c r="E162" s="17"/>
      <c r="F162" s="17"/>
      <c r="G162" s="17"/>
      <c r="H162" s="17"/>
      <c r="I162" s="14"/>
      <c r="J162" s="14"/>
      <c r="K162" s="14"/>
      <c r="L162" s="14"/>
      <c r="M162" s="34" t="str">
        <f aca="false">IF(COUNT(C162:H162)=0,"",IFERROR(MAX(0,ROUND(IF(Settings!$B$33,IF(H162="",SUM(C162:G162),H162)-SUMPRODUCT(($C$4:$G$4="Y")*C162:G162),SUMPRODUCT(($C$4:$G$4="Y")*C162:G162)),0)),"Check inputs"))</f>
        <v/>
      </c>
      <c r="N162" s="35" t="str">
        <f aca="false">IF(AND(N($M162)&gt;0,UPPER($K162)&lt;&gt;"N"),IF(Settings!$B$28,MAX(0,MIN(Settings!$B$16,IF(I162="",Settings!$B$16,I162)))/Settings!$B$15,1),"")</f>
        <v/>
      </c>
      <c r="O162" s="35" t="str">
        <f aca="false">IF(AND(N($M162)&gt;0,UPPER($K162)&lt;&gt;"N"),IF(Settings!$B$28,MAX(0,MIN(Settings!$B$17,IF(J162="",Settings!$B$17,J162)))/Settings!$B$15,0),"")</f>
        <v/>
      </c>
      <c r="P162" s="34" t="str">
        <f aca="false">IF(N162="","",ROUND(IF(Settings!$B$27,MIN($M162,Settings!$B$29),$M162)*N162,0))</f>
        <v/>
      </c>
      <c r="Q162" s="34" t="str">
        <f aca="false">IF(N162="","",ROUND(IF(Settings!$B$27,MIN($M162,Settings!$B$30),$M162)*O162,0))</f>
        <v/>
      </c>
      <c r="R162" s="34" t="str">
        <f aca="false">IF(N162="","",P162+Q162)</f>
        <v/>
      </c>
      <c r="S162" s="34" t="str">
        <f aca="false">IF(N162="","",ROUND(MIN($M162,Settings!$B$29)*N162,0)+ROUND(MIN($M162,Settings!$B$30)*O162,0))</f>
        <v/>
      </c>
      <c r="T162" s="34" t="str">
        <f aca="false">IF(N162="","",IF(UPPER(L162)="N",0,S162))</f>
        <v/>
      </c>
      <c r="U162" s="25" t="str">
        <f aca="false">IF(N162="","",ROUND(R162*Settings!$B$18,0))</f>
        <v/>
      </c>
      <c r="V162" s="25" t="str">
        <f aca="false">IF(N162="","",ROUND(R162*Settings!$B$19,0)-X162)</f>
        <v/>
      </c>
      <c r="W162" s="25" t="str">
        <f aca="false">IF(N162="","",IF(Settings!$B$31,ROUND(R162*Settings!$B$22,0),0))</f>
        <v/>
      </c>
      <c r="X162" s="25" t="str">
        <f aca="false">IF(N162="","",MIN(ROUND(T162*Settings!$B$20,0),ROUND(R162*Settings!$B$19,0)))</f>
        <v/>
      </c>
      <c r="Y162" s="25" t="str">
        <f aca="false">IF(N162="","",IF(Settings!$B$31,ROUND(S162*Settings!$B$21,0),0))</f>
        <v/>
      </c>
      <c r="Z162" s="25" t="str">
        <f aca="false">IF(N162="","",U162+V162+X162+W162+Y162)</f>
        <v/>
      </c>
      <c r="AA162" s="7" t="str">
        <f aca="false">IF(COUNT(C162:H162)=0,"",TRIM(IF(UPPER(K162)="N","Not a PF member, skipped. ","")&amp;IF(AND(UPPER(K162)&lt;&gt;"N",N(M162)&lt;=0),"PF wage is zero, skipped. ","")&amp;IF(AND(UPPER(K162)&lt;&gt;"N",N(M162)&gt;0,UPPER(L162)="N"),"Pension not applicable, whole 12% goes to EPF. ","")&amp;IF(AND(ISNUMBER(H162),ABS(SUM(C162:G162)-N(H162))&gt;1),"Heads in the file add up to "&amp;SUM(C162:G162)&amp;", Gross is "&amp;H162&amp;" (a pay head may be missing). ","")&amp;IF(AND(Settings!$B$32,N(H162)&gt;0,ISNUMBER(M162),N(M162)&lt;H162*0.5-0.5),"50% check: PF wage is "&amp;TEXT(M162/H162,"0%")&amp;" of gross. ","")&amp;IF(AND(N(M162)&gt;0,UPPER(K162)&lt;&gt;"N",N(N162)+N(O162)=0),"No days to count. ","")))</f>
        <v/>
      </c>
    </row>
    <row r="163" customFormat="false" ht="15" hidden="false" customHeight="false" outlineLevel="0" collapsed="false">
      <c r="A163" s="14"/>
      <c r="B163" s="14"/>
      <c r="C163" s="17"/>
      <c r="D163" s="17"/>
      <c r="E163" s="17"/>
      <c r="F163" s="17"/>
      <c r="G163" s="17"/>
      <c r="H163" s="17"/>
      <c r="I163" s="14"/>
      <c r="J163" s="14"/>
      <c r="K163" s="14"/>
      <c r="L163" s="14"/>
      <c r="M163" s="34" t="str">
        <f aca="false">IF(COUNT(C163:H163)=0,"",IFERROR(MAX(0,ROUND(IF(Settings!$B$33,IF(H163="",SUM(C163:G163),H163)-SUMPRODUCT(($C$4:$G$4="Y")*C163:G163),SUMPRODUCT(($C$4:$G$4="Y")*C163:G163)),0)),"Check inputs"))</f>
        <v/>
      </c>
      <c r="N163" s="35" t="str">
        <f aca="false">IF(AND(N($M163)&gt;0,UPPER($K163)&lt;&gt;"N"),IF(Settings!$B$28,MAX(0,MIN(Settings!$B$16,IF(I163="",Settings!$B$16,I163)))/Settings!$B$15,1),"")</f>
        <v/>
      </c>
      <c r="O163" s="35" t="str">
        <f aca="false">IF(AND(N($M163)&gt;0,UPPER($K163)&lt;&gt;"N"),IF(Settings!$B$28,MAX(0,MIN(Settings!$B$17,IF(J163="",Settings!$B$17,J163)))/Settings!$B$15,0),"")</f>
        <v/>
      </c>
      <c r="P163" s="34" t="str">
        <f aca="false">IF(N163="","",ROUND(IF(Settings!$B$27,MIN($M163,Settings!$B$29),$M163)*N163,0))</f>
        <v/>
      </c>
      <c r="Q163" s="34" t="str">
        <f aca="false">IF(N163="","",ROUND(IF(Settings!$B$27,MIN($M163,Settings!$B$30),$M163)*O163,0))</f>
        <v/>
      </c>
      <c r="R163" s="34" t="str">
        <f aca="false">IF(N163="","",P163+Q163)</f>
        <v/>
      </c>
      <c r="S163" s="34" t="str">
        <f aca="false">IF(N163="","",ROUND(MIN($M163,Settings!$B$29)*N163,0)+ROUND(MIN($M163,Settings!$B$30)*O163,0))</f>
        <v/>
      </c>
      <c r="T163" s="34" t="str">
        <f aca="false">IF(N163="","",IF(UPPER(L163)="N",0,S163))</f>
        <v/>
      </c>
      <c r="U163" s="25" t="str">
        <f aca="false">IF(N163="","",ROUND(R163*Settings!$B$18,0))</f>
        <v/>
      </c>
      <c r="V163" s="25" t="str">
        <f aca="false">IF(N163="","",ROUND(R163*Settings!$B$19,0)-X163)</f>
        <v/>
      </c>
      <c r="W163" s="25" t="str">
        <f aca="false">IF(N163="","",IF(Settings!$B$31,ROUND(R163*Settings!$B$22,0),0))</f>
        <v/>
      </c>
      <c r="X163" s="25" t="str">
        <f aca="false">IF(N163="","",MIN(ROUND(T163*Settings!$B$20,0),ROUND(R163*Settings!$B$19,0)))</f>
        <v/>
      </c>
      <c r="Y163" s="25" t="str">
        <f aca="false">IF(N163="","",IF(Settings!$B$31,ROUND(S163*Settings!$B$21,0),0))</f>
        <v/>
      </c>
      <c r="Z163" s="25" t="str">
        <f aca="false">IF(N163="","",U163+V163+X163+W163+Y163)</f>
        <v/>
      </c>
      <c r="AA163" s="7" t="str">
        <f aca="false">IF(COUNT(C163:H163)=0,"",TRIM(IF(UPPER(K163)="N","Not a PF member, skipped. ","")&amp;IF(AND(UPPER(K163)&lt;&gt;"N",N(M163)&lt;=0),"PF wage is zero, skipped. ","")&amp;IF(AND(UPPER(K163)&lt;&gt;"N",N(M163)&gt;0,UPPER(L163)="N"),"Pension not applicable, whole 12% goes to EPF. ","")&amp;IF(AND(ISNUMBER(H163),ABS(SUM(C163:G163)-N(H163))&gt;1),"Heads in the file add up to "&amp;SUM(C163:G163)&amp;", Gross is "&amp;H163&amp;" (a pay head may be missing). ","")&amp;IF(AND(Settings!$B$32,N(H163)&gt;0,ISNUMBER(M163),N(M163)&lt;H163*0.5-0.5),"50% check: PF wage is "&amp;TEXT(M163/H163,"0%")&amp;" of gross. ","")&amp;IF(AND(N(M163)&gt;0,UPPER(K163)&lt;&gt;"N",N(N163)+N(O163)=0),"No days to count. ","")))</f>
        <v/>
      </c>
    </row>
    <row r="164" customFormat="false" ht="15" hidden="false" customHeight="false" outlineLevel="0" collapsed="false">
      <c r="A164" s="14"/>
      <c r="B164" s="14"/>
      <c r="C164" s="17"/>
      <c r="D164" s="17"/>
      <c r="E164" s="17"/>
      <c r="F164" s="17"/>
      <c r="G164" s="17"/>
      <c r="H164" s="17"/>
      <c r="I164" s="14"/>
      <c r="J164" s="14"/>
      <c r="K164" s="14"/>
      <c r="L164" s="14"/>
      <c r="M164" s="34" t="str">
        <f aca="false">IF(COUNT(C164:H164)=0,"",IFERROR(MAX(0,ROUND(IF(Settings!$B$33,IF(H164="",SUM(C164:G164),H164)-SUMPRODUCT(($C$4:$G$4="Y")*C164:G164),SUMPRODUCT(($C$4:$G$4="Y")*C164:G164)),0)),"Check inputs"))</f>
        <v/>
      </c>
      <c r="N164" s="35" t="str">
        <f aca="false">IF(AND(N($M164)&gt;0,UPPER($K164)&lt;&gt;"N"),IF(Settings!$B$28,MAX(0,MIN(Settings!$B$16,IF(I164="",Settings!$B$16,I164)))/Settings!$B$15,1),"")</f>
        <v/>
      </c>
      <c r="O164" s="35" t="str">
        <f aca="false">IF(AND(N($M164)&gt;0,UPPER($K164)&lt;&gt;"N"),IF(Settings!$B$28,MAX(0,MIN(Settings!$B$17,IF(J164="",Settings!$B$17,J164)))/Settings!$B$15,0),"")</f>
        <v/>
      </c>
      <c r="P164" s="34" t="str">
        <f aca="false">IF(N164="","",ROUND(IF(Settings!$B$27,MIN($M164,Settings!$B$29),$M164)*N164,0))</f>
        <v/>
      </c>
      <c r="Q164" s="34" t="str">
        <f aca="false">IF(N164="","",ROUND(IF(Settings!$B$27,MIN($M164,Settings!$B$30),$M164)*O164,0))</f>
        <v/>
      </c>
      <c r="R164" s="34" t="str">
        <f aca="false">IF(N164="","",P164+Q164)</f>
        <v/>
      </c>
      <c r="S164" s="34" t="str">
        <f aca="false">IF(N164="","",ROUND(MIN($M164,Settings!$B$29)*N164,0)+ROUND(MIN($M164,Settings!$B$30)*O164,0))</f>
        <v/>
      </c>
      <c r="T164" s="34" t="str">
        <f aca="false">IF(N164="","",IF(UPPER(L164)="N",0,S164))</f>
        <v/>
      </c>
      <c r="U164" s="25" t="str">
        <f aca="false">IF(N164="","",ROUND(R164*Settings!$B$18,0))</f>
        <v/>
      </c>
      <c r="V164" s="25" t="str">
        <f aca="false">IF(N164="","",ROUND(R164*Settings!$B$19,0)-X164)</f>
        <v/>
      </c>
      <c r="W164" s="25" t="str">
        <f aca="false">IF(N164="","",IF(Settings!$B$31,ROUND(R164*Settings!$B$22,0),0))</f>
        <v/>
      </c>
      <c r="X164" s="25" t="str">
        <f aca="false">IF(N164="","",MIN(ROUND(T164*Settings!$B$20,0),ROUND(R164*Settings!$B$19,0)))</f>
        <v/>
      </c>
      <c r="Y164" s="25" t="str">
        <f aca="false">IF(N164="","",IF(Settings!$B$31,ROUND(S164*Settings!$B$21,0),0))</f>
        <v/>
      </c>
      <c r="Z164" s="25" t="str">
        <f aca="false">IF(N164="","",U164+V164+X164+W164+Y164)</f>
        <v/>
      </c>
      <c r="AA164" s="7" t="str">
        <f aca="false">IF(COUNT(C164:H164)=0,"",TRIM(IF(UPPER(K164)="N","Not a PF member, skipped. ","")&amp;IF(AND(UPPER(K164)&lt;&gt;"N",N(M164)&lt;=0),"PF wage is zero, skipped. ","")&amp;IF(AND(UPPER(K164)&lt;&gt;"N",N(M164)&gt;0,UPPER(L164)="N"),"Pension not applicable, whole 12% goes to EPF. ","")&amp;IF(AND(ISNUMBER(H164),ABS(SUM(C164:G164)-N(H164))&gt;1),"Heads in the file add up to "&amp;SUM(C164:G164)&amp;", Gross is "&amp;H164&amp;" (a pay head may be missing). ","")&amp;IF(AND(Settings!$B$32,N(H164)&gt;0,ISNUMBER(M164),N(M164)&lt;H164*0.5-0.5),"50% check: PF wage is "&amp;TEXT(M164/H164,"0%")&amp;" of gross. ","")&amp;IF(AND(N(M164)&gt;0,UPPER(K164)&lt;&gt;"N",N(N164)+N(O164)=0),"No days to count. ","")))</f>
        <v/>
      </c>
    </row>
    <row r="165" customFormat="false" ht="15" hidden="false" customHeight="false" outlineLevel="0" collapsed="false">
      <c r="A165" s="14"/>
      <c r="B165" s="14"/>
      <c r="C165" s="17"/>
      <c r="D165" s="17"/>
      <c r="E165" s="17"/>
      <c r="F165" s="17"/>
      <c r="G165" s="17"/>
      <c r="H165" s="17"/>
      <c r="I165" s="14"/>
      <c r="J165" s="14"/>
      <c r="K165" s="14"/>
      <c r="L165" s="14"/>
      <c r="M165" s="34" t="str">
        <f aca="false">IF(COUNT(C165:H165)=0,"",IFERROR(MAX(0,ROUND(IF(Settings!$B$33,IF(H165="",SUM(C165:G165),H165)-SUMPRODUCT(($C$4:$G$4="Y")*C165:G165),SUMPRODUCT(($C$4:$G$4="Y")*C165:G165)),0)),"Check inputs"))</f>
        <v/>
      </c>
      <c r="N165" s="35" t="str">
        <f aca="false">IF(AND(N($M165)&gt;0,UPPER($K165)&lt;&gt;"N"),IF(Settings!$B$28,MAX(0,MIN(Settings!$B$16,IF(I165="",Settings!$B$16,I165)))/Settings!$B$15,1),"")</f>
        <v/>
      </c>
      <c r="O165" s="35" t="str">
        <f aca="false">IF(AND(N($M165)&gt;0,UPPER($K165)&lt;&gt;"N"),IF(Settings!$B$28,MAX(0,MIN(Settings!$B$17,IF(J165="",Settings!$B$17,J165)))/Settings!$B$15,0),"")</f>
        <v/>
      </c>
      <c r="P165" s="34" t="str">
        <f aca="false">IF(N165="","",ROUND(IF(Settings!$B$27,MIN($M165,Settings!$B$29),$M165)*N165,0))</f>
        <v/>
      </c>
      <c r="Q165" s="34" t="str">
        <f aca="false">IF(N165="","",ROUND(IF(Settings!$B$27,MIN($M165,Settings!$B$30),$M165)*O165,0))</f>
        <v/>
      </c>
      <c r="R165" s="34" t="str">
        <f aca="false">IF(N165="","",P165+Q165)</f>
        <v/>
      </c>
      <c r="S165" s="34" t="str">
        <f aca="false">IF(N165="","",ROUND(MIN($M165,Settings!$B$29)*N165,0)+ROUND(MIN($M165,Settings!$B$30)*O165,0))</f>
        <v/>
      </c>
      <c r="T165" s="34" t="str">
        <f aca="false">IF(N165="","",IF(UPPER(L165)="N",0,S165))</f>
        <v/>
      </c>
      <c r="U165" s="25" t="str">
        <f aca="false">IF(N165="","",ROUND(R165*Settings!$B$18,0))</f>
        <v/>
      </c>
      <c r="V165" s="25" t="str">
        <f aca="false">IF(N165="","",ROUND(R165*Settings!$B$19,0)-X165)</f>
        <v/>
      </c>
      <c r="W165" s="25" t="str">
        <f aca="false">IF(N165="","",IF(Settings!$B$31,ROUND(R165*Settings!$B$22,0),0))</f>
        <v/>
      </c>
      <c r="X165" s="25" t="str">
        <f aca="false">IF(N165="","",MIN(ROUND(T165*Settings!$B$20,0),ROUND(R165*Settings!$B$19,0)))</f>
        <v/>
      </c>
      <c r="Y165" s="25" t="str">
        <f aca="false">IF(N165="","",IF(Settings!$B$31,ROUND(S165*Settings!$B$21,0),0))</f>
        <v/>
      </c>
      <c r="Z165" s="25" t="str">
        <f aca="false">IF(N165="","",U165+V165+X165+W165+Y165)</f>
        <v/>
      </c>
      <c r="AA165" s="7" t="str">
        <f aca="false">IF(COUNT(C165:H165)=0,"",TRIM(IF(UPPER(K165)="N","Not a PF member, skipped. ","")&amp;IF(AND(UPPER(K165)&lt;&gt;"N",N(M165)&lt;=0),"PF wage is zero, skipped. ","")&amp;IF(AND(UPPER(K165)&lt;&gt;"N",N(M165)&gt;0,UPPER(L165)="N"),"Pension not applicable, whole 12% goes to EPF. ","")&amp;IF(AND(ISNUMBER(H165),ABS(SUM(C165:G165)-N(H165))&gt;1),"Heads in the file add up to "&amp;SUM(C165:G165)&amp;", Gross is "&amp;H165&amp;" (a pay head may be missing). ","")&amp;IF(AND(Settings!$B$32,N(H165)&gt;0,ISNUMBER(M165),N(M165)&lt;H165*0.5-0.5),"50% check: PF wage is "&amp;TEXT(M165/H165,"0%")&amp;" of gross. ","")&amp;IF(AND(N(M165)&gt;0,UPPER(K165)&lt;&gt;"N",N(N165)+N(O165)=0),"No days to count. ","")))</f>
        <v/>
      </c>
    </row>
    <row r="166" customFormat="false" ht="15" hidden="false" customHeight="false" outlineLevel="0" collapsed="false">
      <c r="A166" s="14"/>
      <c r="B166" s="14"/>
      <c r="C166" s="17"/>
      <c r="D166" s="17"/>
      <c r="E166" s="17"/>
      <c r="F166" s="17"/>
      <c r="G166" s="17"/>
      <c r="H166" s="17"/>
      <c r="I166" s="14"/>
      <c r="J166" s="14"/>
      <c r="K166" s="14"/>
      <c r="L166" s="14"/>
      <c r="M166" s="34" t="str">
        <f aca="false">IF(COUNT(C166:H166)=0,"",IFERROR(MAX(0,ROUND(IF(Settings!$B$33,IF(H166="",SUM(C166:G166),H166)-SUMPRODUCT(($C$4:$G$4="Y")*C166:G166),SUMPRODUCT(($C$4:$G$4="Y")*C166:G166)),0)),"Check inputs"))</f>
        <v/>
      </c>
      <c r="N166" s="35" t="str">
        <f aca="false">IF(AND(N($M166)&gt;0,UPPER($K166)&lt;&gt;"N"),IF(Settings!$B$28,MAX(0,MIN(Settings!$B$16,IF(I166="",Settings!$B$16,I166)))/Settings!$B$15,1),"")</f>
        <v/>
      </c>
      <c r="O166" s="35" t="str">
        <f aca="false">IF(AND(N($M166)&gt;0,UPPER($K166)&lt;&gt;"N"),IF(Settings!$B$28,MAX(0,MIN(Settings!$B$17,IF(J166="",Settings!$B$17,J166)))/Settings!$B$15,0),"")</f>
        <v/>
      </c>
      <c r="P166" s="34" t="str">
        <f aca="false">IF(N166="","",ROUND(IF(Settings!$B$27,MIN($M166,Settings!$B$29),$M166)*N166,0))</f>
        <v/>
      </c>
      <c r="Q166" s="34" t="str">
        <f aca="false">IF(N166="","",ROUND(IF(Settings!$B$27,MIN($M166,Settings!$B$30),$M166)*O166,0))</f>
        <v/>
      </c>
      <c r="R166" s="34" t="str">
        <f aca="false">IF(N166="","",P166+Q166)</f>
        <v/>
      </c>
      <c r="S166" s="34" t="str">
        <f aca="false">IF(N166="","",ROUND(MIN($M166,Settings!$B$29)*N166,0)+ROUND(MIN($M166,Settings!$B$30)*O166,0))</f>
        <v/>
      </c>
      <c r="T166" s="34" t="str">
        <f aca="false">IF(N166="","",IF(UPPER(L166)="N",0,S166))</f>
        <v/>
      </c>
      <c r="U166" s="25" t="str">
        <f aca="false">IF(N166="","",ROUND(R166*Settings!$B$18,0))</f>
        <v/>
      </c>
      <c r="V166" s="25" t="str">
        <f aca="false">IF(N166="","",ROUND(R166*Settings!$B$19,0)-X166)</f>
        <v/>
      </c>
      <c r="W166" s="25" t="str">
        <f aca="false">IF(N166="","",IF(Settings!$B$31,ROUND(R166*Settings!$B$22,0),0))</f>
        <v/>
      </c>
      <c r="X166" s="25" t="str">
        <f aca="false">IF(N166="","",MIN(ROUND(T166*Settings!$B$20,0),ROUND(R166*Settings!$B$19,0)))</f>
        <v/>
      </c>
      <c r="Y166" s="25" t="str">
        <f aca="false">IF(N166="","",IF(Settings!$B$31,ROUND(S166*Settings!$B$21,0),0))</f>
        <v/>
      </c>
      <c r="Z166" s="25" t="str">
        <f aca="false">IF(N166="","",U166+V166+X166+W166+Y166)</f>
        <v/>
      </c>
      <c r="AA166" s="7" t="str">
        <f aca="false">IF(COUNT(C166:H166)=0,"",TRIM(IF(UPPER(K166)="N","Not a PF member, skipped. ","")&amp;IF(AND(UPPER(K166)&lt;&gt;"N",N(M166)&lt;=0),"PF wage is zero, skipped. ","")&amp;IF(AND(UPPER(K166)&lt;&gt;"N",N(M166)&gt;0,UPPER(L166)="N"),"Pension not applicable, whole 12% goes to EPF. ","")&amp;IF(AND(ISNUMBER(H166),ABS(SUM(C166:G166)-N(H166))&gt;1),"Heads in the file add up to "&amp;SUM(C166:G166)&amp;", Gross is "&amp;H166&amp;" (a pay head may be missing). ","")&amp;IF(AND(Settings!$B$32,N(H166)&gt;0,ISNUMBER(M166),N(M166)&lt;H166*0.5-0.5),"50% check: PF wage is "&amp;TEXT(M166/H166,"0%")&amp;" of gross. ","")&amp;IF(AND(N(M166)&gt;0,UPPER(K166)&lt;&gt;"N",N(N166)+N(O166)=0),"No days to count. ","")))</f>
        <v/>
      </c>
    </row>
    <row r="167" customFormat="false" ht="15" hidden="false" customHeight="false" outlineLevel="0" collapsed="false">
      <c r="A167" s="14"/>
      <c r="B167" s="14"/>
      <c r="C167" s="17"/>
      <c r="D167" s="17"/>
      <c r="E167" s="17"/>
      <c r="F167" s="17"/>
      <c r="G167" s="17"/>
      <c r="H167" s="17"/>
      <c r="I167" s="14"/>
      <c r="J167" s="14"/>
      <c r="K167" s="14"/>
      <c r="L167" s="14"/>
      <c r="M167" s="34" t="str">
        <f aca="false">IF(COUNT(C167:H167)=0,"",IFERROR(MAX(0,ROUND(IF(Settings!$B$33,IF(H167="",SUM(C167:G167),H167)-SUMPRODUCT(($C$4:$G$4="Y")*C167:G167),SUMPRODUCT(($C$4:$G$4="Y")*C167:G167)),0)),"Check inputs"))</f>
        <v/>
      </c>
      <c r="N167" s="35" t="str">
        <f aca="false">IF(AND(N($M167)&gt;0,UPPER($K167)&lt;&gt;"N"),IF(Settings!$B$28,MAX(0,MIN(Settings!$B$16,IF(I167="",Settings!$B$16,I167)))/Settings!$B$15,1),"")</f>
        <v/>
      </c>
      <c r="O167" s="35" t="str">
        <f aca="false">IF(AND(N($M167)&gt;0,UPPER($K167)&lt;&gt;"N"),IF(Settings!$B$28,MAX(0,MIN(Settings!$B$17,IF(J167="",Settings!$B$17,J167)))/Settings!$B$15,0),"")</f>
        <v/>
      </c>
      <c r="P167" s="34" t="str">
        <f aca="false">IF(N167="","",ROUND(IF(Settings!$B$27,MIN($M167,Settings!$B$29),$M167)*N167,0))</f>
        <v/>
      </c>
      <c r="Q167" s="34" t="str">
        <f aca="false">IF(N167="","",ROUND(IF(Settings!$B$27,MIN($M167,Settings!$B$30),$M167)*O167,0))</f>
        <v/>
      </c>
      <c r="R167" s="34" t="str">
        <f aca="false">IF(N167="","",P167+Q167)</f>
        <v/>
      </c>
      <c r="S167" s="34" t="str">
        <f aca="false">IF(N167="","",ROUND(MIN($M167,Settings!$B$29)*N167,0)+ROUND(MIN($M167,Settings!$B$30)*O167,0))</f>
        <v/>
      </c>
      <c r="T167" s="34" t="str">
        <f aca="false">IF(N167="","",IF(UPPER(L167)="N",0,S167))</f>
        <v/>
      </c>
      <c r="U167" s="25" t="str">
        <f aca="false">IF(N167="","",ROUND(R167*Settings!$B$18,0))</f>
        <v/>
      </c>
      <c r="V167" s="25" t="str">
        <f aca="false">IF(N167="","",ROUND(R167*Settings!$B$19,0)-X167)</f>
        <v/>
      </c>
      <c r="W167" s="25" t="str">
        <f aca="false">IF(N167="","",IF(Settings!$B$31,ROUND(R167*Settings!$B$22,0),0))</f>
        <v/>
      </c>
      <c r="X167" s="25" t="str">
        <f aca="false">IF(N167="","",MIN(ROUND(T167*Settings!$B$20,0),ROUND(R167*Settings!$B$19,0)))</f>
        <v/>
      </c>
      <c r="Y167" s="25" t="str">
        <f aca="false">IF(N167="","",IF(Settings!$B$31,ROUND(S167*Settings!$B$21,0),0))</f>
        <v/>
      </c>
      <c r="Z167" s="25" t="str">
        <f aca="false">IF(N167="","",U167+V167+X167+W167+Y167)</f>
        <v/>
      </c>
      <c r="AA167" s="7" t="str">
        <f aca="false">IF(COUNT(C167:H167)=0,"",TRIM(IF(UPPER(K167)="N","Not a PF member, skipped. ","")&amp;IF(AND(UPPER(K167)&lt;&gt;"N",N(M167)&lt;=0),"PF wage is zero, skipped. ","")&amp;IF(AND(UPPER(K167)&lt;&gt;"N",N(M167)&gt;0,UPPER(L167)="N"),"Pension not applicable, whole 12% goes to EPF. ","")&amp;IF(AND(ISNUMBER(H167),ABS(SUM(C167:G167)-N(H167))&gt;1),"Heads in the file add up to "&amp;SUM(C167:G167)&amp;", Gross is "&amp;H167&amp;" (a pay head may be missing). ","")&amp;IF(AND(Settings!$B$32,N(H167)&gt;0,ISNUMBER(M167),N(M167)&lt;H167*0.5-0.5),"50% check: PF wage is "&amp;TEXT(M167/H167,"0%")&amp;" of gross. ","")&amp;IF(AND(N(M167)&gt;0,UPPER(K167)&lt;&gt;"N",N(N167)+N(O167)=0),"No days to count. ","")))</f>
        <v/>
      </c>
    </row>
    <row r="168" customFormat="false" ht="15" hidden="false" customHeight="false" outlineLevel="0" collapsed="false">
      <c r="A168" s="14"/>
      <c r="B168" s="14"/>
      <c r="C168" s="17"/>
      <c r="D168" s="17"/>
      <c r="E168" s="17"/>
      <c r="F168" s="17"/>
      <c r="G168" s="17"/>
      <c r="H168" s="17"/>
      <c r="I168" s="14"/>
      <c r="J168" s="14"/>
      <c r="K168" s="14"/>
      <c r="L168" s="14"/>
      <c r="M168" s="34" t="str">
        <f aca="false">IF(COUNT(C168:H168)=0,"",IFERROR(MAX(0,ROUND(IF(Settings!$B$33,IF(H168="",SUM(C168:G168),H168)-SUMPRODUCT(($C$4:$G$4="Y")*C168:G168),SUMPRODUCT(($C$4:$G$4="Y")*C168:G168)),0)),"Check inputs"))</f>
        <v/>
      </c>
      <c r="N168" s="35" t="str">
        <f aca="false">IF(AND(N($M168)&gt;0,UPPER($K168)&lt;&gt;"N"),IF(Settings!$B$28,MAX(0,MIN(Settings!$B$16,IF(I168="",Settings!$B$16,I168)))/Settings!$B$15,1),"")</f>
        <v/>
      </c>
      <c r="O168" s="35" t="str">
        <f aca="false">IF(AND(N($M168)&gt;0,UPPER($K168)&lt;&gt;"N"),IF(Settings!$B$28,MAX(0,MIN(Settings!$B$17,IF(J168="",Settings!$B$17,J168)))/Settings!$B$15,0),"")</f>
        <v/>
      </c>
      <c r="P168" s="34" t="str">
        <f aca="false">IF(N168="","",ROUND(IF(Settings!$B$27,MIN($M168,Settings!$B$29),$M168)*N168,0))</f>
        <v/>
      </c>
      <c r="Q168" s="34" t="str">
        <f aca="false">IF(N168="","",ROUND(IF(Settings!$B$27,MIN($M168,Settings!$B$30),$M168)*O168,0))</f>
        <v/>
      </c>
      <c r="R168" s="34" t="str">
        <f aca="false">IF(N168="","",P168+Q168)</f>
        <v/>
      </c>
      <c r="S168" s="34" t="str">
        <f aca="false">IF(N168="","",ROUND(MIN($M168,Settings!$B$29)*N168,0)+ROUND(MIN($M168,Settings!$B$30)*O168,0))</f>
        <v/>
      </c>
      <c r="T168" s="34" t="str">
        <f aca="false">IF(N168="","",IF(UPPER(L168)="N",0,S168))</f>
        <v/>
      </c>
      <c r="U168" s="25" t="str">
        <f aca="false">IF(N168="","",ROUND(R168*Settings!$B$18,0))</f>
        <v/>
      </c>
      <c r="V168" s="25" t="str">
        <f aca="false">IF(N168="","",ROUND(R168*Settings!$B$19,0)-X168)</f>
        <v/>
      </c>
      <c r="W168" s="25" t="str">
        <f aca="false">IF(N168="","",IF(Settings!$B$31,ROUND(R168*Settings!$B$22,0),0))</f>
        <v/>
      </c>
      <c r="X168" s="25" t="str">
        <f aca="false">IF(N168="","",MIN(ROUND(T168*Settings!$B$20,0),ROUND(R168*Settings!$B$19,0)))</f>
        <v/>
      </c>
      <c r="Y168" s="25" t="str">
        <f aca="false">IF(N168="","",IF(Settings!$B$31,ROUND(S168*Settings!$B$21,0),0))</f>
        <v/>
      </c>
      <c r="Z168" s="25" t="str">
        <f aca="false">IF(N168="","",U168+V168+X168+W168+Y168)</f>
        <v/>
      </c>
      <c r="AA168" s="7" t="str">
        <f aca="false">IF(COUNT(C168:H168)=0,"",TRIM(IF(UPPER(K168)="N","Not a PF member, skipped. ","")&amp;IF(AND(UPPER(K168)&lt;&gt;"N",N(M168)&lt;=0),"PF wage is zero, skipped. ","")&amp;IF(AND(UPPER(K168)&lt;&gt;"N",N(M168)&gt;0,UPPER(L168)="N"),"Pension not applicable, whole 12% goes to EPF. ","")&amp;IF(AND(ISNUMBER(H168),ABS(SUM(C168:G168)-N(H168))&gt;1),"Heads in the file add up to "&amp;SUM(C168:G168)&amp;", Gross is "&amp;H168&amp;" (a pay head may be missing). ","")&amp;IF(AND(Settings!$B$32,N(H168)&gt;0,ISNUMBER(M168),N(M168)&lt;H168*0.5-0.5),"50% check: PF wage is "&amp;TEXT(M168/H168,"0%")&amp;" of gross. ","")&amp;IF(AND(N(M168)&gt;0,UPPER(K168)&lt;&gt;"N",N(N168)+N(O168)=0),"No days to count. ","")))</f>
        <v/>
      </c>
    </row>
    <row r="169" customFormat="false" ht="15" hidden="false" customHeight="false" outlineLevel="0" collapsed="false">
      <c r="A169" s="14"/>
      <c r="B169" s="14"/>
      <c r="C169" s="17"/>
      <c r="D169" s="17"/>
      <c r="E169" s="17"/>
      <c r="F169" s="17"/>
      <c r="G169" s="17"/>
      <c r="H169" s="17"/>
      <c r="I169" s="14"/>
      <c r="J169" s="14"/>
      <c r="K169" s="14"/>
      <c r="L169" s="14"/>
      <c r="M169" s="34" t="str">
        <f aca="false">IF(COUNT(C169:H169)=0,"",IFERROR(MAX(0,ROUND(IF(Settings!$B$33,IF(H169="",SUM(C169:G169),H169)-SUMPRODUCT(($C$4:$G$4="Y")*C169:G169),SUMPRODUCT(($C$4:$G$4="Y")*C169:G169)),0)),"Check inputs"))</f>
        <v/>
      </c>
      <c r="N169" s="35" t="str">
        <f aca="false">IF(AND(N($M169)&gt;0,UPPER($K169)&lt;&gt;"N"),IF(Settings!$B$28,MAX(0,MIN(Settings!$B$16,IF(I169="",Settings!$B$16,I169)))/Settings!$B$15,1),"")</f>
        <v/>
      </c>
      <c r="O169" s="35" t="str">
        <f aca="false">IF(AND(N($M169)&gt;0,UPPER($K169)&lt;&gt;"N"),IF(Settings!$B$28,MAX(0,MIN(Settings!$B$17,IF(J169="",Settings!$B$17,J169)))/Settings!$B$15,0),"")</f>
        <v/>
      </c>
      <c r="P169" s="34" t="str">
        <f aca="false">IF(N169="","",ROUND(IF(Settings!$B$27,MIN($M169,Settings!$B$29),$M169)*N169,0))</f>
        <v/>
      </c>
      <c r="Q169" s="34" t="str">
        <f aca="false">IF(N169="","",ROUND(IF(Settings!$B$27,MIN($M169,Settings!$B$30),$M169)*O169,0))</f>
        <v/>
      </c>
      <c r="R169" s="34" t="str">
        <f aca="false">IF(N169="","",P169+Q169)</f>
        <v/>
      </c>
      <c r="S169" s="34" t="str">
        <f aca="false">IF(N169="","",ROUND(MIN($M169,Settings!$B$29)*N169,0)+ROUND(MIN($M169,Settings!$B$30)*O169,0))</f>
        <v/>
      </c>
      <c r="T169" s="34" t="str">
        <f aca="false">IF(N169="","",IF(UPPER(L169)="N",0,S169))</f>
        <v/>
      </c>
      <c r="U169" s="25" t="str">
        <f aca="false">IF(N169="","",ROUND(R169*Settings!$B$18,0))</f>
        <v/>
      </c>
      <c r="V169" s="25" t="str">
        <f aca="false">IF(N169="","",ROUND(R169*Settings!$B$19,0)-X169)</f>
        <v/>
      </c>
      <c r="W169" s="25" t="str">
        <f aca="false">IF(N169="","",IF(Settings!$B$31,ROUND(R169*Settings!$B$22,0),0))</f>
        <v/>
      </c>
      <c r="X169" s="25" t="str">
        <f aca="false">IF(N169="","",MIN(ROUND(T169*Settings!$B$20,0),ROUND(R169*Settings!$B$19,0)))</f>
        <v/>
      </c>
      <c r="Y169" s="25" t="str">
        <f aca="false">IF(N169="","",IF(Settings!$B$31,ROUND(S169*Settings!$B$21,0),0))</f>
        <v/>
      </c>
      <c r="Z169" s="25" t="str">
        <f aca="false">IF(N169="","",U169+V169+X169+W169+Y169)</f>
        <v/>
      </c>
      <c r="AA169" s="7" t="str">
        <f aca="false">IF(COUNT(C169:H169)=0,"",TRIM(IF(UPPER(K169)="N","Not a PF member, skipped. ","")&amp;IF(AND(UPPER(K169)&lt;&gt;"N",N(M169)&lt;=0),"PF wage is zero, skipped. ","")&amp;IF(AND(UPPER(K169)&lt;&gt;"N",N(M169)&gt;0,UPPER(L169)="N"),"Pension not applicable, whole 12% goes to EPF. ","")&amp;IF(AND(ISNUMBER(H169),ABS(SUM(C169:G169)-N(H169))&gt;1),"Heads in the file add up to "&amp;SUM(C169:G169)&amp;", Gross is "&amp;H169&amp;" (a pay head may be missing). ","")&amp;IF(AND(Settings!$B$32,N(H169)&gt;0,ISNUMBER(M169),N(M169)&lt;H169*0.5-0.5),"50% check: PF wage is "&amp;TEXT(M169/H169,"0%")&amp;" of gross. ","")&amp;IF(AND(N(M169)&gt;0,UPPER(K169)&lt;&gt;"N",N(N169)+N(O169)=0),"No days to count. ","")))</f>
        <v/>
      </c>
    </row>
    <row r="170" customFormat="false" ht="15" hidden="false" customHeight="false" outlineLevel="0" collapsed="false">
      <c r="A170" s="14"/>
      <c r="B170" s="14"/>
      <c r="C170" s="17"/>
      <c r="D170" s="17"/>
      <c r="E170" s="17"/>
      <c r="F170" s="17"/>
      <c r="G170" s="17"/>
      <c r="H170" s="17"/>
      <c r="I170" s="14"/>
      <c r="J170" s="14"/>
      <c r="K170" s="14"/>
      <c r="L170" s="14"/>
      <c r="M170" s="34" t="str">
        <f aca="false">IF(COUNT(C170:H170)=0,"",IFERROR(MAX(0,ROUND(IF(Settings!$B$33,IF(H170="",SUM(C170:G170),H170)-SUMPRODUCT(($C$4:$G$4="Y")*C170:G170),SUMPRODUCT(($C$4:$G$4="Y")*C170:G170)),0)),"Check inputs"))</f>
        <v/>
      </c>
      <c r="N170" s="35" t="str">
        <f aca="false">IF(AND(N($M170)&gt;0,UPPER($K170)&lt;&gt;"N"),IF(Settings!$B$28,MAX(0,MIN(Settings!$B$16,IF(I170="",Settings!$B$16,I170)))/Settings!$B$15,1),"")</f>
        <v/>
      </c>
      <c r="O170" s="35" t="str">
        <f aca="false">IF(AND(N($M170)&gt;0,UPPER($K170)&lt;&gt;"N"),IF(Settings!$B$28,MAX(0,MIN(Settings!$B$17,IF(J170="",Settings!$B$17,J170)))/Settings!$B$15,0),"")</f>
        <v/>
      </c>
      <c r="P170" s="34" t="str">
        <f aca="false">IF(N170="","",ROUND(IF(Settings!$B$27,MIN($M170,Settings!$B$29),$M170)*N170,0))</f>
        <v/>
      </c>
      <c r="Q170" s="34" t="str">
        <f aca="false">IF(N170="","",ROUND(IF(Settings!$B$27,MIN($M170,Settings!$B$30),$M170)*O170,0))</f>
        <v/>
      </c>
      <c r="R170" s="34" t="str">
        <f aca="false">IF(N170="","",P170+Q170)</f>
        <v/>
      </c>
      <c r="S170" s="34" t="str">
        <f aca="false">IF(N170="","",ROUND(MIN($M170,Settings!$B$29)*N170,0)+ROUND(MIN($M170,Settings!$B$30)*O170,0))</f>
        <v/>
      </c>
      <c r="T170" s="34" t="str">
        <f aca="false">IF(N170="","",IF(UPPER(L170)="N",0,S170))</f>
        <v/>
      </c>
      <c r="U170" s="25" t="str">
        <f aca="false">IF(N170="","",ROUND(R170*Settings!$B$18,0))</f>
        <v/>
      </c>
      <c r="V170" s="25" t="str">
        <f aca="false">IF(N170="","",ROUND(R170*Settings!$B$19,0)-X170)</f>
        <v/>
      </c>
      <c r="W170" s="25" t="str">
        <f aca="false">IF(N170="","",IF(Settings!$B$31,ROUND(R170*Settings!$B$22,0),0))</f>
        <v/>
      </c>
      <c r="X170" s="25" t="str">
        <f aca="false">IF(N170="","",MIN(ROUND(T170*Settings!$B$20,0),ROUND(R170*Settings!$B$19,0)))</f>
        <v/>
      </c>
      <c r="Y170" s="25" t="str">
        <f aca="false">IF(N170="","",IF(Settings!$B$31,ROUND(S170*Settings!$B$21,0),0))</f>
        <v/>
      </c>
      <c r="Z170" s="25" t="str">
        <f aca="false">IF(N170="","",U170+V170+X170+W170+Y170)</f>
        <v/>
      </c>
      <c r="AA170" s="7" t="str">
        <f aca="false">IF(COUNT(C170:H170)=0,"",TRIM(IF(UPPER(K170)="N","Not a PF member, skipped. ","")&amp;IF(AND(UPPER(K170)&lt;&gt;"N",N(M170)&lt;=0),"PF wage is zero, skipped. ","")&amp;IF(AND(UPPER(K170)&lt;&gt;"N",N(M170)&gt;0,UPPER(L170)="N"),"Pension not applicable, whole 12% goes to EPF. ","")&amp;IF(AND(ISNUMBER(H170),ABS(SUM(C170:G170)-N(H170))&gt;1),"Heads in the file add up to "&amp;SUM(C170:G170)&amp;", Gross is "&amp;H170&amp;" (a pay head may be missing). ","")&amp;IF(AND(Settings!$B$32,N(H170)&gt;0,ISNUMBER(M170),N(M170)&lt;H170*0.5-0.5),"50% check: PF wage is "&amp;TEXT(M170/H170,"0%")&amp;" of gross. ","")&amp;IF(AND(N(M170)&gt;0,UPPER(K170)&lt;&gt;"N",N(N170)+N(O170)=0),"No days to count. ","")))</f>
        <v/>
      </c>
    </row>
    <row r="171" customFormat="false" ht="15" hidden="false" customHeight="false" outlineLevel="0" collapsed="false">
      <c r="A171" s="14"/>
      <c r="B171" s="14"/>
      <c r="C171" s="17"/>
      <c r="D171" s="17"/>
      <c r="E171" s="17"/>
      <c r="F171" s="17"/>
      <c r="G171" s="17"/>
      <c r="H171" s="17"/>
      <c r="I171" s="14"/>
      <c r="J171" s="14"/>
      <c r="K171" s="14"/>
      <c r="L171" s="14"/>
      <c r="M171" s="34" t="str">
        <f aca="false">IF(COUNT(C171:H171)=0,"",IFERROR(MAX(0,ROUND(IF(Settings!$B$33,IF(H171="",SUM(C171:G171),H171)-SUMPRODUCT(($C$4:$G$4="Y")*C171:G171),SUMPRODUCT(($C$4:$G$4="Y")*C171:G171)),0)),"Check inputs"))</f>
        <v/>
      </c>
      <c r="N171" s="35" t="str">
        <f aca="false">IF(AND(N($M171)&gt;0,UPPER($K171)&lt;&gt;"N"),IF(Settings!$B$28,MAX(0,MIN(Settings!$B$16,IF(I171="",Settings!$B$16,I171)))/Settings!$B$15,1),"")</f>
        <v/>
      </c>
      <c r="O171" s="35" t="str">
        <f aca="false">IF(AND(N($M171)&gt;0,UPPER($K171)&lt;&gt;"N"),IF(Settings!$B$28,MAX(0,MIN(Settings!$B$17,IF(J171="",Settings!$B$17,J171)))/Settings!$B$15,0),"")</f>
        <v/>
      </c>
      <c r="P171" s="34" t="str">
        <f aca="false">IF(N171="","",ROUND(IF(Settings!$B$27,MIN($M171,Settings!$B$29),$M171)*N171,0))</f>
        <v/>
      </c>
      <c r="Q171" s="34" t="str">
        <f aca="false">IF(N171="","",ROUND(IF(Settings!$B$27,MIN($M171,Settings!$B$30),$M171)*O171,0))</f>
        <v/>
      </c>
      <c r="R171" s="34" t="str">
        <f aca="false">IF(N171="","",P171+Q171)</f>
        <v/>
      </c>
      <c r="S171" s="34" t="str">
        <f aca="false">IF(N171="","",ROUND(MIN($M171,Settings!$B$29)*N171,0)+ROUND(MIN($M171,Settings!$B$30)*O171,0))</f>
        <v/>
      </c>
      <c r="T171" s="34" t="str">
        <f aca="false">IF(N171="","",IF(UPPER(L171)="N",0,S171))</f>
        <v/>
      </c>
      <c r="U171" s="25" t="str">
        <f aca="false">IF(N171="","",ROUND(R171*Settings!$B$18,0))</f>
        <v/>
      </c>
      <c r="V171" s="25" t="str">
        <f aca="false">IF(N171="","",ROUND(R171*Settings!$B$19,0)-X171)</f>
        <v/>
      </c>
      <c r="W171" s="25" t="str">
        <f aca="false">IF(N171="","",IF(Settings!$B$31,ROUND(R171*Settings!$B$22,0),0))</f>
        <v/>
      </c>
      <c r="X171" s="25" t="str">
        <f aca="false">IF(N171="","",MIN(ROUND(T171*Settings!$B$20,0),ROUND(R171*Settings!$B$19,0)))</f>
        <v/>
      </c>
      <c r="Y171" s="25" t="str">
        <f aca="false">IF(N171="","",IF(Settings!$B$31,ROUND(S171*Settings!$B$21,0),0))</f>
        <v/>
      </c>
      <c r="Z171" s="25" t="str">
        <f aca="false">IF(N171="","",U171+V171+X171+W171+Y171)</f>
        <v/>
      </c>
      <c r="AA171" s="7" t="str">
        <f aca="false">IF(COUNT(C171:H171)=0,"",TRIM(IF(UPPER(K171)="N","Not a PF member, skipped. ","")&amp;IF(AND(UPPER(K171)&lt;&gt;"N",N(M171)&lt;=0),"PF wage is zero, skipped. ","")&amp;IF(AND(UPPER(K171)&lt;&gt;"N",N(M171)&gt;0,UPPER(L171)="N"),"Pension not applicable, whole 12% goes to EPF. ","")&amp;IF(AND(ISNUMBER(H171),ABS(SUM(C171:G171)-N(H171))&gt;1),"Heads in the file add up to "&amp;SUM(C171:G171)&amp;", Gross is "&amp;H171&amp;" (a pay head may be missing). ","")&amp;IF(AND(Settings!$B$32,N(H171)&gt;0,ISNUMBER(M171),N(M171)&lt;H171*0.5-0.5),"50% check: PF wage is "&amp;TEXT(M171/H171,"0%")&amp;" of gross. ","")&amp;IF(AND(N(M171)&gt;0,UPPER(K171)&lt;&gt;"N",N(N171)+N(O171)=0),"No days to count. ","")))</f>
        <v/>
      </c>
    </row>
    <row r="172" customFormat="false" ht="15" hidden="false" customHeight="false" outlineLevel="0" collapsed="false">
      <c r="A172" s="14"/>
      <c r="B172" s="14"/>
      <c r="C172" s="17"/>
      <c r="D172" s="17"/>
      <c r="E172" s="17"/>
      <c r="F172" s="17"/>
      <c r="G172" s="17"/>
      <c r="H172" s="17"/>
      <c r="I172" s="14"/>
      <c r="J172" s="14"/>
      <c r="K172" s="14"/>
      <c r="L172" s="14"/>
      <c r="M172" s="34" t="str">
        <f aca="false">IF(COUNT(C172:H172)=0,"",IFERROR(MAX(0,ROUND(IF(Settings!$B$33,IF(H172="",SUM(C172:G172),H172)-SUMPRODUCT(($C$4:$G$4="Y")*C172:G172),SUMPRODUCT(($C$4:$G$4="Y")*C172:G172)),0)),"Check inputs"))</f>
        <v/>
      </c>
      <c r="N172" s="35" t="str">
        <f aca="false">IF(AND(N($M172)&gt;0,UPPER($K172)&lt;&gt;"N"),IF(Settings!$B$28,MAX(0,MIN(Settings!$B$16,IF(I172="",Settings!$B$16,I172)))/Settings!$B$15,1),"")</f>
        <v/>
      </c>
      <c r="O172" s="35" t="str">
        <f aca="false">IF(AND(N($M172)&gt;0,UPPER($K172)&lt;&gt;"N"),IF(Settings!$B$28,MAX(0,MIN(Settings!$B$17,IF(J172="",Settings!$B$17,J172)))/Settings!$B$15,0),"")</f>
        <v/>
      </c>
      <c r="P172" s="34" t="str">
        <f aca="false">IF(N172="","",ROUND(IF(Settings!$B$27,MIN($M172,Settings!$B$29),$M172)*N172,0))</f>
        <v/>
      </c>
      <c r="Q172" s="34" t="str">
        <f aca="false">IF(N172="","",ROUND(IF(Settings!$B$27,MIN($M172,Settings!$B$30),$M172)*O172,0))</f>
        <v/>
      </c>
      <c r="R172" s="34" t="str">
        <f aca="false">IF(N172="","",P172+Q172)</f>
        <v/>
      </c>
      <c r="S172" s="34" t="str">
        <f aca="false">IF(N172="","",ROUND(MIN($M172,Settings!$B$29)*N172,0)+ROUND(MIN($M172,Settings!$B$30)*O172,0))</f>
        <v/>
      </c>
      <c r="T172" s="34" t="str">
        <f aca="false">IF(N172="","",IF(UPPER(L172)="N",0,S172))</f>
        <v/>
      </c>
      <c r="U172" s="25" t="str">
        <f aca="false">IF(N172="","",ROUND(R172*Settings!$B$18,0))</f>
        <v/>
      </c>
      <c r="V172" s="25" t="str">
        <f aca="false">IF(N172="","",ROUND(R172*Settings!$B$19,0)-X172)</f>
        <v/>
      </c>
      <c r="W172" s="25" t="str">
        <f aca="false">IF(N172="","",IF(Settings!$B$31,ROUND(R172*Settings!$B$22,0),0))</f>
        <v/>
      </c>
      <c r="X172" s="25" t="str">
        <f aca="false">IF(N172="","",MIN(ROUND(T172*Settings!$B$20,0),ROUND(R172*Settings!$B$19,0)))</f>
        <v/>
      </c>
      <c r="Y172" s="25" t="str">
        <f aca="false">IF(N172="","",IF(Settings!$B$31,ROUND(S172*Settings!$B$21,0),0))</f>
        <v/>
      </c>
      <c r="Z172" s="25" t="str">
        <f aca="false">IF(N172="","",U172+V172+X172+W172+Y172)</f>
        <v/>
      </c>
      <c r="AA172" s="7" t="str">
        <f aca="false">IF(COUNT(C172:H172)=0,"",TRIM(IF(UPPER(K172)="N","Not a PF member, skipped. ","")&amp;IF(AND(UPPER(K172)&lt;&gt;"N",N(M172)&lt;=0),"PF wage is zero, skipped. ","")&amp;IF(AND(UPPER(K172)&lt;&gt;"N",N(M172)&gt;0,UPPER(L172)="N"),"Pension not applicable, whole 12% goes to EPF. ","")&amp;IF(AND(ISNUMBER(H172),ABS(SUM(C172:G172)-N(H172))&gt;1),"Heads in the file add up to "&amp;SUM(C172:G172)&amp;", Gross is "&amp;H172&amp;" (a pay head may be missing). ","")&amp;IF(AND(Settings!$B$32,N(H172)&gt;0,ISNUMBER(M172),N(M172)&lt;H172*0.5-0.5),"50% check: PF wage is "&amp;TEXT(M172/H172,"0%")&amp;" of gross. ","")&amp;IF(AND(N(M172)&gt;0,UPPER(K172)&lt;&gt;"N",N(N172)+N(O172)=0),"No days to count. ","")))</f>
        <v/>
      </c>
    </row>
    <row r="173" customFormat="false" ht="15" hidden="false" customHeight="false" outlineLevel="0" collapsed="false">
      <c r="A173" s="14"/>
      <c r="B173" s="14"/>
      <c r="C173" s="17"/>
      <c r="D173" s="17"/>
      <c r="E173" s="17"/>
      <c r="F173" s="17"/>
      <c r="G173" s="17"/>
      <c r="H173" s="17"/>
      <c r="I173" s="14"/>
      <c r="J173" s="14"/>
      <c r="K173" s="14"/>
      <c r="L173" s="14"/>
      <c r="M173" s="34" t="str">
        <f aca="false">IF(COUNT(C173:H173)=0,"",IFERROR(MAX(0,ROUND(IF(Settings!$B$33,IF(H173="",SUM(C173:G173),H173)-SUMPRODUCT(($C$4:$G$4="Y")*C173:G173),SUMPRODUCT(($C$4:$G$4="Y")*C173:G173)),0)),"Check inputs"))</f>
        <v/>
      </c>
      <c r="N173" s="35" t="str">
        <f aca="false">IF(AND(N($M173)&gt;0,UPPER($K173)&lt;&gt;"N"),IF(Settings!$B$28,MAX(0,MIN(Settings!$B$16,IF(I173="",Settings!$B$16,I173)))/Settings!$B$15,1),"")</f>
        <v/>
      </c>
      <c r="O173" s="35" t="str">
        <f aca="false">IF(AND(N($M173)&gt;0,UPPER($K173)&lt;&gt;"N"),IF(Settings!$B$28,MAX(0,MIN(Settings!$B$17,IF(J173="",Settings!$B$17,J173)))/Settings!$B$15,0),"")</f>
        <v/>
      </c>
      <c r="P173" s="34" t="str">
        <f aca="false">IF(N173="","",ROUND(IF(Settings!$B$27,MIN($M173,Settings!$B$29),$M173)*N173,0))</f>
        <v/>
      </c>
      <c r="Q173" s="34" t="str">
        <f aca="false">IF(N173="","",ROUND(IF(Settings!$B$27,MIN($M173,Settings!$B$30),$M173)*O173,0))</f>
        <v/>
      </c>
      <c r="R173" s="34" t="str">
        <f aca="false">IF(N173="","",P173+Q173)</f>
        <v/>
      </c>
      <c r="S173" s="34" t="str">
        <f aca="false">IF(N173="","",ROUND(MIN($M173,Settings!$B$29)*N173,0)+ROUND(MIN($M173,Settings!$B$30)*O173,0))</f>
        <v/>
      </c>
      <c r="T173" s="34" t="str">
        <f aca="false">IF(N173="","",IF(UPPER(L173)="N",0,S173))</f>
        <v/>
      </c>
      <c r="U173" s="25" t="str">
        <f aca="false">IF(N173="","",ROUND(R173*Settings!$B$18,0))</f>
        <v/>
      </c>
      <c r="V173" s="25" t="str">
        <f aca="false">IF(N173="","",ROUND(R173*Settings!$B$19,0)-X173)</f>
        <v/>
      </c>
      <c r="W173" s="25" t="str">
        <f aca="false">IF(N173="","",IF(Settings!$B$31,ROUND(R173*Settings!$B$22,0),0))</f>
        <v/>
      </c>
      <c r="X173" s="25" t="str">
        <f aca="false">IF(N173="","",MIN(ROUND(T173*Settings!$B$20,0),ROUND(R173*Settings!$B$19,0)))</f>
        <v/>
      </c>
      <c r="Y173" s="25" t="str">
        <f aca="false">IF(N173="","",IF(Settings!$B$31,ROUND(S173*Settings!$B$21,0),0))</f>
        <v/>
      </c>
      <c r="Z173" s="25" t="str">
        <f aca="false">IF(N173="","",U173+V173+X173+W173+Y173)</f>
        <v/>
      </c>
      <c r="AA173" s="7" t="str">
        <f aca="false">IF(COUNT(C173:H173)=0,"",TRIM(IF(UPPER(K173)="N","Not a PF member, skipped. ","")&amp;IF(AND(UPPER(K173)&lt;&gt;"N",N(M173)&lt;=0),"PF wage is zero, skipped. ","")&amp;IF(AND(UPPER(K173)&lt;&gt;"N",N(M173)&gt;0,UPPER(L173)="N"),"Pension not applicable, whole 12% goes to EPF. ","")&amp;IF(AND(ISNUMBER(H173),ABS(SUM(C173:G173)-N(H173))&gt;1),"Heads in the file add up to "&amp;SUM(C173:G173)&amp;", Gross is "&amp;H173&amp;" (a pay head may be missing). ","")&amp;IF(AND(Settings!$B$32,N(H173)&gt;0,ISNUMBER(M173),N(M173)&lt;H173*0.5-0.5),"50% check: PF wage is "&amp;TEXT(M173/H173,"0%")&amp;" of gross. ","")&amp;IF(AND(N(M173)&gt;0,UPPER(K173)&lt;&gt;"N",N(N173)+N(O173)=0),"No days to count. ","")))</f>
        <v/>
      </c>
    </row>
    <row r="174" customFormat="false" ht="15" hidden="false" customHeight="false" outlineLevel="0" collapsed="false">
      <c r="A174" s="14"/>
      <c r="B174" s="14"/>
      <c r="C174" s="17"/>
      <c r="D174" s="17"/>
      <c r="E174" s="17"/>
      <c r="F174" s="17"/>
      <c r="G174" s="17"/>
      <c r="H174" s="17"/>
      <c r="I174" s="14"/>
      <c r="J174" s="14"/>
      <c r="K174" s="14"/>
      <c r="L174" s="14"/>
      <c r="M174" s="34" t="str">
        <f aca="false">IF(COUNT(C174:H174)=0,"",IFERROR(MAX(0,ROUND(IF(Settings!$B$33,IF(H174="",SUM(C174:G174),H174)-SUMPRODUCT(($C$4:$G$4="Y")*C174:G174),SUMPRODUCT(($C$4:$G$4="Y")*C174:G174)),0)),"Check inputs"))</f>
        <v/>
      </c>
      <c r="N174" s="35" t="str">
        <f aca="false">IF(AND(N($M174)&gt;0,UPPER($K174)&lt;&gt;"N"),IF(Settings!$B$28,MAX(0,MIN(Settings!$B$16,IF(I174="",Settings!$B$16,I174)))/Settings!$B$15,1),"")</f>
        <v/>
      </c>
      <c r="O174" s="35" t="str">
        <f aca="false">IF(AND(N($M174)&gt;0,UPPER($K174)&lt;&gt;"N"),IF(Settings!$B$28,MAX(0,MIN(Settings!$B$17,IF(J174="",Settings!$B$17,J174)))/Settings!$B$15,0),"")</f>
        <v/>
      </c>
      <c r="P174" s="34" t="str">
        <f aca="false">IF(N174="","",ROUND(IF(Settings!$B$27,MIN($M174,Settings!$B$29),$M174)*N174,0))</f>
        <v/>
      </c>
      <c r="Q174" s="34" t="str">
        <f aca="false">IF(N174="","",ROUND(IF(Settings!$B$27,MIN($M174,Settings!$B$30),$M174)*O174,0))</f>
        <v/>
      </c>
      <c r="R174" s="34" t="str">
        <f aca="false">IF(N174="","",P174+Q174)</f>
        <v/>
      </c>
      <c r="S174" s="34" t="str">
        <f aca="false">IF(N174="","",ROUND(MIN($M174,Settings!$B$29)*N174,0)+ROUND(MIN($M174,Settings!$B$30)*O174,0))</f>
        <v/>
      </c>
      <c r="T174" s="34" t="str">
        <f aca="false">IF(N174="","",IF(UPPER(L174)="N",0,S174))</f>
        <v/>
      </c>
      <c r="U174" s="25" t="str">
        <f aca="false">IF(N174="","",ROUND(R174*Settings!$B$18,0))</f>
        <v/>
      </c>
      <c r="V174" s="25" t="str">
        <f aca="false">IF(N174="","",ROUND(R174*Settings!$B$19,0)-X174)</f>
        <v/>
      </c>
      <c r="W174" s="25" t="str">
        <f aca="false">IF(N174="","",IF(Settings!$B$31,ROUND(R174*Settings!$B$22,0),0))</f>
        <v/>
      </c>
      <c r="X174" s="25" t="str">
        <f aca="false">IF(N174="","",MIN(ROUND(T174*Settings!$B$20,0),ROUND(R174*Settings!$B$19,0)))</f>
        <v/>
      </c>
      <c r="Y174" s="25" t="str">
        <f aca="false">IF(N174="","",IF(Settings!$B$31,ROUND(S174*Settings!$B$21,0),0))</f>
        <v/>
      </c>
      <c r="Z174" s="25" t="str">
        <f aca="false">IF(N174="","",U174+V174+X174+W174+Y174)</f>
        <v/>
      </c>
      <c r="AA174" s="7" t="str">
        <f aca="false">IF(COUNT(C174:H174)=0,"",TRIM(IF(UPPER(K174)="N","Not a PF member, skipped. ","")&amp;IF(AND(UPPER(K174)&lt;&gt;"N",N(M174)&lt;=0),"PF wage is zero, skipped. ","")&amp;IF(AND(UPPER(K174)&lt;&gt;"N",N(M174)&gt;0,UPPER(L174)="N"),"Pension not applicable, whole 12% goes to EPF. ","")&amp;IF(AND(ISNUMBER(H174),ABS(SUM(C174:G174)-N(H174))&gt;1),"Heads in the file add up to "&amp;SUM(C174:G174)&amp;", Gross is "&amp;H174&amp;" (a pay head may be missing). ","")&amp;IF(AND(Settings!$B$32,N(H174)&gt;0,ISNUMBER(M174),N(M174)&lt;H174*0.5-0.5),"50% check: PF wage is "&amp;TEXT(M174/H174,"0%")&amp;" of gross. ","")&amp;IF(AND(N(M174)&gt;0,UPPER(K174)&lt;&gt;"N",N(N174)+N(O174)=0),"No days to count. ","")))</f>
        <v/>
      </c>
    </row>
    <row r="175" customFormat="false" ht="15" hidden="false" customHeight="false" outlineLevel="0" collapsed="false">
      <c r="A175" s="14"/>
      <c r="B175" s="14"/>
      <c r="C175" s="17"/>
      <c r="D175" s="17"/>
      <c r="E175" s="17"/>
      <c r="F175" s="17"/>
      <c r="G175" s="17"/>
      <c r="H175" s="17"/>
      <c r="I175" s="14"/>
      <c r="J175" s="14"/>
      <c r="K175" s="14"/>
      <c r="L175" s="14"/>
      <c r="M175" s="34" t="str">
        <f aca="false">IF(COUNT(C175:H175)=0,"",IFERROR(MAX(0,ROUND(IF(Settings!$B$33,IF(H175="",SUM(C175:G175),H175)-SUMPRODUCT(($C$4:$G$4="Y")*C175:G175),SUMPRODUCT(($C$4:$G$4="Y")*C175:G175)),0)),"Check inputs"))</f>
        <v/>
      </c>
      <c r="N175" s="35" t="str">
        <f aca="false">IF(AND(N($M175)&gt;0,UPPER($K175)&lt;&gt;"N"),IF(Settings!$B$28,MAX(0,MIN(Settings!$B$16,IF(I175="",Settings!$B$16,I175)))/Settings!$B$15,1),"")</f>
        <v/>
      </c>
      <c r="O175" s="35" t="str">
        <f aca="false">IF(AND(N($M175)&gt;0,UPPER($K175)&lt;&gt;"N"),IF(Settings!$B$28,MAX(0,MIN(Settings!$B$17,IF(J175="",Settings!$B$17,J175)))/Settings!$B$15,0),"")</f>
        <v/>
      </c>
      <c r="P175" s="34" t="str">
        <f aca="false">IF(N175="","",ROUND(IF(Settings!$B$27,MIN($M175,Settings!$B$29),$M175)*N175,0))</f>
        <v/>
      </c>
      <c r="Q175" s="34" t="str">
        <f aca="false">IF(N175="","",ROUND(IF(Settings!$B$27,MIN($M175,Settings!$B$30),$M175)*O175,0))</f>
        <v/>
      </c>
      <c r="R175" s="34" t="str">
        <f aca="false">IF(N175="","",P175+Q175)</f>
        <v/>
      </c>
      <c r="S175" s="34" t="str">
        <f aca="false">IF(N175="","",ROUND(MIN($M175,Settings!$B$29)*N175,0)+ROUND(MIN($M175,Settings!$B$30)*O175,0))</f>
        <v/>
      </c>
      <c r="T175" s="34" t="str">
        <f aca="false">IF(N175="","",IF(UPPER(L175)="N",0,S175))</f>
        <v/>
      </c>
      <c r="U175" s="25" t="str">
        <f aca="false">IF(N175="","",ROUND(R175*Settings!$B$18,0))</f>
        <v/>
      </c>
      <c r="V175" s="25" t="str">
        <f aca="false">IF(N175="","",ROUND(R175*Settings!$B$19,0)-X175)</f>
        <v/>
      </c>
      <c r="W175" s="25" t="str">
        <f aca="false">IF(N175="","",IF(Settings!$B$31,ROUND(R175*Settings!$B$22,0),0))</f>
        <v/>
      </c>
      <c r="X175" s="25" t="str">
        <f aca="false">IF(N175="","",MIN(ROUND(T175*Settings!$B$20,0),ROUND(R175*Settings!$B$19,0)))</f>
        <v/>
      </c>
      <c r="Y175" s="25" t="str">
        <f aca="false">IF(N175="","",IF(Settings!$B$31,ROUND(S175*Settings!$B$21,0),0))</f>
        <v/>
      </c>
      <c r="Z175" s="25" t="str">
        <f aca="false">IF(N175="","",U175+V175+X175+W175+Y175)</f>
        <v/>
      </c>
      <c r="AA175" s="7" t="str">
        <f aca="false">IF(COUNT(C175:H175)=0,"",TRIM(IF(UPPER(K175)="N","Not a PF member, skipped. ","")&amp;IF(AND(UPPER(K175)&lt;&gt;"N",N(M175)&lt;=0),"PF wage is zero, skipped. ","")&amp;IF(AND(UPPER(K175)&lt;&gt;"N",N(M175)&gt;0,UPPER(L175)="N"),"Pension not applicable, whole 12% goes to EPF. ","")&amp;IF(AND(ISNUMBER(H175),ABS(SUM(C175:G175)-N(H175))&gt;1),"Heads in the file add up to "&amp;SUM(C175:G175)&amp;", Gross is "&amp;H175&amp;" (a pay head may be missing). ","")&amp;IF(AND(Settings!$B$32,N(H175)&gt;0,ISNUMBER(M175),N(M175)&lt;H175*0.5-0.5),"50% check: PF wage is "&amp;TEXT(M175/H175,"0%")&amp;" of gross. ","")&amp;IF(AND(N(M175)&gt;0,UPPER(K175)&lt;&gt;"N",N(N175)+N(O175)=0),"No days to count. ","")))</f>
        <v/>
      </c>
    </row>
    <row r="176" customFormat="false" ht="15" hidden="false" customHeight="false" outlineLevel="0" collapsed="false">
      <c r="A176" s="14"/>
      <c r="B176" s="14"/>
      <c r="C176" s="17"/>
      <c r="D176" s="17"/>
      <c r="E176" s="17"/>
      <c r="F176" s="17"/>
      <c r="G176" s="17"/>
      <c r="H176" s="17"/>
      <c r="I176" s="14"/>
      <c r="J176" s="14"/>
      <c r="K176" s="14"/>
      <c r="L176" s="14"/>
      <c r="M176" s="34" t="str">
        <f aca="false">IF(COUNT(C176:H176)=0,"",IFERROR(MAX(0,ROUND(IF(Settings!$B$33,IF(H176="",SUM(C176:G176),H176)-SUMPRODUCT(($C$4:$G$4="Y")*C176:G176),SUMPRODUCT(($C$4:$G$4="Y")*C176:G176)),0)),"Check inputs"))</f>
        <v/>
      </c>
      <c r="N176" s="35" t="str">
        <f aca="false">IF(AND(N($M176)&gt;0,UPPER($K176)&lt;&gt;"N"),IF(Settings!$B$28,MAX(0,MIN(Settings!$B$16,IF(I176="",Settings!$B$16,I176)))/Settings!$B$15,1),"")</f>
        <v/>
      </c>
      <c r="O176" s="35" t="str">
        <f aca="false">IF(AND(N($M176)&gt;0,UPPER($K176)&lt;&gt;"N"),IF(Settings!$B$28,MAX(0,MIN(Settings!$B$17,IF(J176="",Settings!$B$17,J176)))/Settings!$B$15,0),"")</f>
        <v/>
      </c>
      <c r="P176" s="34" t="str">
        <f aca="false">IF(N176="","",ROUND(IF(Settings!$B$27,MIN($M176,Settings!$B$29),$M176)*N176,0))</f>
        <v/>
      </c>
      <c r="Q176" s="34" t="str">
        <f aca="false">IF(N176="","",ROUND(IF(Settings!$B$27,MIN($M176,Settings!$B$30),$M176)*O176,0))</f>
        <v/>
      </c>
      <c r="R176" s="34" t="str">
        <f aca="false">IF(N176="","",P176+Q176)</f>
        <v/>
      </c>
      <c r="S176" s="34" t="str">
        <f aca="false">IF(N176="","",ROUND(MIN($M176,Settings!$B$29)*N176,0)+ROUND(MIN($M176,Settings!$B$30)*O176,0))</f>
        <v/>
      </c>
      <c r="T176" s="34" t="str">
        <f aca="false">IF(N176="","",IF(UPPER(L176)="N",0,S176))</f>
        <v/>
      </c>
      <c r="U176" s="25" t="str">
        <f aca="false">IF(N176="","",ROUND(R176*Settings!$B$18,0))</f>
        <v/>
      </c>
      <c r="V176" s="25" t="str">
        <f aca="false">IF(N176="","",ROUND(R176*Settings!$B$19,0)-X176)</f>
        <v/>
      </c>
      <c r="W176" s="25" t="str">
        <f aca="false">IF(N176="","",IF(Settings!$B$31,ROUND(R176*Settings!$B$22,0),0))</f>
        <v/>
      </c>
      <c r="X176" s="25" t="str">
        <f aca="false">IF(N176="","",MIN(ROUND(T176*Settings!$B$20,0),ROUND(R176*Settings!$B$19,0)))</f>
        <v/>
      </c>
      <c r="Y176" s="25" t="str">
        <f aca="false">IF(N176="","",IF(Settings!$B$31,ROUND(S176*Settings!$B$21,0),0))</f>
        <v/>
      </c>
      <c r="Z176" s="25" t="str">
        <f aca="false">IF(N176="","",U176+V176+X176+W176+Y176)</f>
        <v/>
      </c>
      <c r="AA176" s="7" t="str">
        <f aca="false">IF(COUNT(C176:H176)=0,"",TRIM(IF(UPPER(K176)="N","Not a PF member, skipped. ","")&amp;IF(AND(UPPER(K176)&lt;&gt;"N",N(M176)&lt;=0),"PF wage is zero, skipped. ","")&amp;IF(AND(UPPER(K176)&lt;&gt;"N",N(M176)&gt;0,UPPER(L176)="N"),"Pension not applicable, whole 12% goes to EPF. ","")&amp;IF(AND(ISNUMBER(H176),ABS(SUM(C176:G176)-N(H176))&gt;1),"Heads in the file add up to "&amp;SUM(C176:G176)&amp;", Gross is "&amp;H176&amp;" (a pay head may be missing). ","")&amp;IF(AND(Settings!$B$32,N(H176)&gt;0,ISNUMBER(M176),N(M176)&lt;H176*0.5-0.5),"50% check: PF wage is "&amp;TEXT(M176/H176,"0%")&amp;" of gross. ","")&amp;IF(AND(N(M176)&gt;0,UPPER(K176)&lt;&gt;"N",N(N176)+N(O176)=0),"No days to count. ","")))</f>
        <v/>
      </c>
    </row>
    <row r="177" customFormat="false" ht="15" hidden="false" customHeight="false" outlineLevel="0" collapsed="false">
      <c r="A177" s="14"/>
      <c r="B177" s="14"/>
      <c r="C177" s="17"/>
      <c r="D177" s="17"/>
      <c r="E177" s="17"/>
      <c r="F177" s="17"/>
      <c r="G177" s="17"/>
      <c r="H177" s="17"/>
      <c r="I177" s="14"/>
      <c r="J177" s="14"/>
      <c r="K177" s="14"/>
      <c r="L177" s="14"/>
      <c r="M177" s="34" t="str">
        <f aca="false">IF(COUNT(C177:H177)=0,"",IFERROR(MAX(0,ROUND(IF(Settings!$B$33,IF(H177="",SUM(C177:G177),H177)-SUMPRODUCT(($C$4:$G$4="Y")*C177:G177),SUMPRODUCT(($C$4:$G$4="Y")*C177:G177)),0)),"Check inputs"))</f>
        <v/>
      </c>
      <c r="N177" s="35" t="str">
        <f aca="false">IF(AND(N($M177)&gt;0,UPPER($K177)&lt;&gt;"N"),IF(Settings!$B$28,MAX(0,MIN(Settings!$B$16,IF(I177="",Settings!$B$16,I177)))/Settings!$B$15,1),"")</f>
        <v/>
      </c>
      <c r="O177" s="35" t="str">
        <f aca="false">IF(AND(N($M177)&gt;0,UPPER($K177)&lt;&gt;"N"),IF(Settings!$B$28,MAX(0,MIN(Settings!$B$17,IF(J177="",Settings!$B$17,J177)))/Settings!$B$15,0),"")</f>
        <v/>
      </c>
      <c r="P177" s="34" t="str">
        <f aca="false">IF(N177="","",ROUND(IF(Settings!$B$27,MIN($M177,Settings!$B$29),$M177)*N177,0))</f>
        <v/>
      </c>
      <c r="Q177" s="34" t="str">
        <f aca="false">IF(N177="","",ROUND(IF(Settings!$B$27,MIN($M177,Settings!$B$30),$M177)*O177,0))</f>
        <v/>
      </c>
      <c r="R177" s="34" t="str">
        <f aca="false">IF(N177="","",P177+Q177)</f>
        <v/>
      </c>
      <c r="S177" s="34" t="str">
        <f aca="false">IF(N177="","",ROUND(MIN($M177,Settings!$B$29)*N177,0)+ROUND(MIN($M177,Settings!$B$30)*O177,0))</f>
        <v/>
      </c>
      <c r="T177" s="34" t="str">
        <f aca="false">IF(N177="","",IF(UPPER(L177)="N",0,S177))</f>
        <v/>
      </c>
      <c r="U177" s="25" t="str">
        <f aca="false">IF(N177="","",ROUND(R177*Settings!$B$18,0))</f>
        <v/>
      </c>
      <c r="V177" s="25" t="str">
        <f aca="false">IF(N177="","",ROUND(R177*Settings!$B$19,0)-X177)</f>
        <v/>
      </c>
      <c r="W177" s="25" t="str">
        <f aca="false">IF(N177="","",IF(Settings!$B$31,ROUND(R177*Settings!$B$22,0),0))</f>
        <v/>
      </c>
      <c r="X177" s="25" t="str">
        <f aca="false">IF(N177="","",MIN(ROUND(T177*Settings!$B$20,0),ROUND(R177*Settings!$B$19,0)))</f>
        <v/>
      </c>
      <c r="Y177" s="25" t="str">
        <f aca="false">IF(N177="","",IF(Settings!$B$31,ROUND(S177*Settings!$B$21,0),0))</f>
        <v/>
      </c>
      <c r="Z177" s="25" t="str">
        <f aca="false">IF(N177="","",U177+V177+X177+W177+Y177)</f>
        <v/>
      </c>
      <c r="AA177" s="7" t="str">
        <f aca="false">IF(COUNT(C177:H177)=0,"",TRIM(IF(UPPER(K177)="N","Not a PF member, skipped. ","")&amp;IF(AND(UPPER(K177)&lt;&gt;"N",N(M177)&lt;=0),"PF wage is zero, skipped. ","")&amp;IF(AND(UPPER(K177)&lt;&gt;"N",N(M177)&gt;0,UPPER(L177)="N"),"Pension not applicable, whole 12% goes to EPF. ","")&amp;IF(AND(ISNUMBER(H177),ABS(SUM(C177:G177)-N(H177))&gt;1),"Heads in the file add up to "&amp;SUM(C177:G177)&amp;", Gross is "&amp;H177&amp;" (a pay head may be missing). ","")&amp;IF(AND(Settings!$B$32,N(H177)&gt;0,ISNUMBER(M177),N(M177)&lt;H177*0.5-0.5),"50% check: PF wage is "&amp;TEXT(M177/H177,"0%")&amp;" of gross. ","")&amp;IF(AND(N(M177)&gt;0,UPPER(K177)&lt;&gt;"N",N(N177)+N(O177)=0),"No days to count. ","")))</f>
        <v/>
      </c>
    </row>
    <row r="178" customFormat="false" ht="15" hidden="false" customHeight="false" outlineLevel="0" collapsed="false">
      <c r="A178" s="14"/>
      <c r="B178" s="14"/>
      <c r="C178" s="17"/>
      <c r="D178" s="17"/>
      <c r="E178" s="17"/>
      <c r="F178" s="17"/>
      <c r="G178" s="17"/>
      <c r="H178" s="17"/>
      <c r="I178" s="14"/>
      <c r="J178" s="14"/>
      <c r="K178" s="14"/>
      <c r="L178" s="14"/>
      <c r="M178" s="34" t="str">
        <f aca="false">IF(COUNT(C178:H178)=0,"",IFERROR(MAX(0,ROUND(IF(Settings!$B$33,IF(H178="",SUM(C178:G178),H178)-SUMPRODUCT(($C$4:$G$4="Y")*C178:G178),SUMPRODUCT(($C$4:$G$4="Y")*C178:G178)),0)),"Check inputs"))</f>
        <v/>
      </c>
      <c r="N178" s="35" t="str">
        <f aca="false">IF(AND(N($M178)&gt;0,UPPER($K178)&lt;&gt;"N"),IF(Settings!$B$28,MAX(0,MIN(Settings!$B$16,IF(I178="",Settings!$B$16,I178)))/Settings!$B$15,1),"")</f>
        <v/>
      </c>
      <c r="O178" s="35" t="str">
        <f aca="false">IF(AND(N($M178)&gt;0,UPPER($K178)&lt;&gt;"N"),IF(Settings!$B$28,MAX(0,MIN(Settings!$B$17,IF(J178="",Settings!$B$17,J178)))/Settings!$B$15,0),"")</f>
        <v/>
      </c>
      <c r="P178" s="34" t="str">
        <f aca="false">IF(N178="","",ROUND(IF(Settings!$B$27,MIN($M178,Settings!$B$29),$M178)*N178,0))</f>
        <v/>
      </c>
      <c r="Q178" s="34" t="str">
        <f aca="false">IF(N178="","",ROUND(IF(Settings!$B$27,MIN($M178,Settings!$B$30),$M178)*O178,0))</f>
        <v/>
      </c>
      <c r="R178" s="34" t="str">
        <f aca="false">IF(N178="","",P178+Q178)</f>
        <v/>
      </c>
      <c r="S178" s="34" t="str">
        <f aca="false">IF(N178="","",ROUND(MIN($M178,Settings!$B$29)*N178,0)+ROUND(MIN($M178,Settings!$B$30)*O178,0))</f>
        <v/>
      </c>
      <c r="T178" s="34" t="str">
        <f aca="false">IF(N178="","",IF(UPPER(L178)="N",0,S178))</f>
        <v/>
      </c>
      <c r="U178" s="25" t="str">
        <f aca="false">IF(N178="","",ROUND(R178*Settings!$B$18,0))</f>
        <v/>
      </c>
      <c r="V178" s="25" t="str">
        <f aca="false">IF(N178="","",ROUND(R178*Settings!$B$19,0)-X178)</f>
        <v/>
      </c>
      <c r="W178" s="25" t="str">
        <f aca="false">IF(N178="","",IF(Settings!$B$31,ROUND(R178*Settings!$B$22,0),0))</f>
        <v/>
      </c>
      <c r="X178" s="25" t="str">
        <f aca="false">IF(N178="","",MIN(ROUND(T178*Settings!$B$20,0),ROUND(R178*Settings!$B$19,0)))</f>
        <v/>
      </c>
      <c r="Y178" s="25" t="str">
        <f aca="false">IF(N178="","",IF(Settings!$B$31,ROUND(S178*Settings!$B$21,0),0))</f>
        <v/>
      </c>
      <c r="Z178" s="25" t="str">
        <f aca="false">IF(N178="","",U178+V178+X178+W178+Y178)</f>
        <v/>
      </c>
      <c r="AA178" s="7" t="str">
        <f aca="false">IF(COUNT(C178:H178)=0,"",TRIM(IF(UPPER(K178)="N","Not a PF member, skipped. ","")&amp;IF(AND(UPPER(K178)&lt;&gt;"N",N(M178)&lt;=0),"PF wage is zero, skipped. ","")&amp;IF(AND(UPPER(K178)&lt;&gt;"N",N(M178)&gt;0,UPPER(L178)="N"),"Pension not applicable, whole 12% goes to EPF. ","")&amp;IF(AND(ISNUMBER(H178),ABS(SUM(C178:G178)-N(H178))&gt;1),"Heads in the file add up to "&amp;SUM(C178:G178)&amp;", Gross is "&amp;H178&amp;" (a pay head may be missing). ","")&amp;IF(AND(Settings!$B$32,N(H178)&gt;0,ISNUMBER(M178),N(M178)&lt;H178*0.5-0.5),"50% check: PF wage is "&amp;TEXT(M178/H178,"0%")&amp;" of gross. ","")&amp;IF(AND(N(M178)&gt;0,UPPER(K178)&lt;&gt;"N",N(N178)+N(O178)=0),"No days to count. ","")))</f>
        <v/>
      </c>
    </row>
    <row r="179" customFormat="false" ht="15" hidden="false" customHeight="false" outlineLevel="0" collapsed="false">
      <c r="A179" s="14"/>
      <c r="B179" s="14"/>
      <c r="C179" s="17"/>
      <c r="D179" s="17"/>
      <c r="E179" s="17"/>
      <c r="F179" s="17"/>
      <c r="G179" s="17"/>
      <c r="H179" s="17"/>
      <c r="I179" s="14"/>
      <c r="J179" s="14"/>
      <c r="K179" s="14"/>
      <c r="L179" s="14"/>
      <c r="M179" s="34" t="str">
        <f aca="false">IF(COUNT(C179:H179)=0,"",IFERROR(MAX(0,ROUND(IF(Settings!$B$33,IF(H179="",SUM(C179:G179),H179)-SUMPRODUCT(($C$4:$G$4="Y")*C179:G179),SUMPRODUCT(($C$4:$G$4="Y")*C179:G179)),0)),"Check inputs"))</f>
        <v/>
      </c>
      <c r="N179" s="35" t="str">
        <f aca="false">IF(AND(N($M179)&gt;0,UPPER($K179)&lt;&gt;"N"),IF(Settings!$B$28,MAX(0,MIN(Settings!$B$16,IF(I179="",Settings!$B$16,I179)))/Settings!$B$15,1),"")</f>
        <v/>
      </c>
      <c r="O179" s="35" t="str">
        <f aca="false">IF(AND(N($M179)&gt;0,UPPER($K179)&lt;&gt;"N"),IF(Settings!$B$28,MAX(0,MIN(Settings!$B$17,IF(J179="",Settings!$B$17,J179)))/Settings!$B$15,0),"")</f>
        <v/>
      </c>
      <c r="P179" s="34" t="str">
        <f aca="false">IF(N179="","",ROUND(IF(Settings!$B$27,MIN($M179,Settings!$B$29),$M179)*N179,0))</f>
        <v/>
      </c>
      <c r="Q179" s="34" t="str">
        <f aca="false">IF(N179="","",ROUND(IF(Settings!$B$27,MIN($M179,Settings!$B$30),$M179)*O179,0))</f>
        <v/>
      </c>
      <c r="R179" s="34" t="str">
        <f aca="false">IF(N179="","",P179+Q179)</f>
        <v/>
      </c>
      <c r="S179" s="34" t="str">
        <f aca="false">IF(N179="","",ROUND(MIN($M179,Settings!$B$29)*N179,0)+ROUND(MIN($M179,Settings!$B$30)*O179,0))</f>
        <v/>
      </c>
      <c r="T179" s="34" t="str">
        <f aca="false">IF(N179="","",IF(UPPER(L179)="N",0,S179))</f>
        <v/>
      </c>
      <c r="U179" s="25" t="str">
        <f aca="false">IF(N179="","",ROUND(R179*Settings!$B$18,0))</f>
        <v/>
      </c>
      <c r="V179" s="25" t="str">
        <f aca="false">IF(N179="","",ROUND(R179*Settings!$B$19,0)-X179)</f>
        <v/>
      </c>
      <c r="W179" s="25" t="str">
        <f aca="false">IF(N179="","",IF(Settings!$B$31,ROUND(R179*Settings!$B$22,0),0))</f>
        <v/>
      </c>
      <c r="X179" s="25" t="str">
        <f aca="false">IF(N179="","",MIN(ROUND(T179*Settings!$B$20,0),ROUND(R179*Settings!$B$19,0)))</f>
        <v/>
      </c>
      <c r="Y179" s="25" t="str">
        <f aca="false">IF(N179="","",IF(Settings!$B$31,ROUND(S179*Settings!$B$21,0),0))</f>
        <v/>
      </c>
      <c r="Z179" s="25" t="str">
        <f aca="false">IF(N179="","",U179+V179+X179+W179+Y179)</f>
        <v/>
      </c>
      <c r="AA179" s="7" t="str">
        <f aca="false">IF(COUNT(C179:H179)=0,"",TRIM(IF(UPPER(K179)="N","Not a PF member, skipped. ","")&amp;IF(AND(UPPER(K179)&lt;&gt;"N",N(M179)&lt;=0),"PF wage is zero, skipped. ","")&amp;IF(AND(UPPER(K179)&lt;&gt;"N",N(M179)&gt;0,UPPER(L179)="N"),"Pension not applicable, whole 12% goes to EPF. ","")&amp;IF(AND(ISNUMBER(H179),ABS(SUM(C179:G179)-N(H179))&gt;1),"Heads in the file add up to "&amp;SUM(C179:G179)&amp;", Gross is "&amp;H179&amp;" (a pay head may be missing). ","")&amp;IF(AND(Settings!$B$32,N(H179)&gt;0,ISNUMBER(M179),N(M179)&lt;H179*0.5-0.5),"50% check: PF wage is "&amp;TEXT(M179/H179,"0%")&amp;" of gross. ","")&amp;IF(AND(N(M179)&gt;0,UPPER(K179)&lt;&gt;"N",N(N179)+N(O179)=0),"No days to count. ","")))</f>
        <v/>
      </c>
    </row>
    <row r="180" customFormat="false" ht="15" hidden="false" customHeight="false" outlineLevel="0" collapsed="false">
      <c r="A180" s="14"/>
      <c r="B180" s="14"/>
      <c r="C180" s="17"/>
      <c r="D180" s="17"/>
      <c r="E180" s="17"/>
      <c r="F180" s="17"/>
      <c r="G180" s="17"/>
      <c r="H180" s="17"/>
      <c r="I180" s="14"/>
      <c r="J180" s="14"/>
      <c r="K180" s="14"/>
      <c r="L180" s="14"/>
      <c r="M180" s="34" t="str">
        <f aca="false">IF(COUNT(C180:H180)=0,"",IFERROR(MAX(0,ROUND(IF(Settings!$B$33,IF(H180="",SUM(C180:G180),H180)-SUMPRODUCT(($C$4:$G$4="Y")*C180:G180),SUMPRODUCT(($C$4:$G$4="Y")*C180:G180)),0)),"Check inputs"))</f>
        <v/>
      </c>
      <c r="N180" s="35" t="str">
        <f aca="false">IF(AND(N($M180)&gt;0,UPPER($K180)&lt;&gt;"N"),IF(Settings!$B$28,MAX(0,MIN(Settings!$B$16,IF(I180="",Settings!$B$16,I180)))/Settings!$B$15,1),"")</f>
        <v/>
      </c>
      <c r="O180" s="35" t="str">
        <f aca="false">IF(AND(N($M180)&gt;0,UPPER($K180)&lt;&gt;"N"),IF(Settings!$B$28,MAX(0,MIN(Settings!$B$17,IF(J180="",Settings!$B$17,J180)))/Settings!$B$15,0),"")</f>
        <v/>
      </c>
      <c r="P180" s="34" t="str">
        <f aca="false">IF(N180="","",ROUND(IF(Settings!$B$27,MIN($M180,Settings!$B$29),$M180)*N180,0))</f>
        <v/>
      </c>
      <c r="Q180" s="34" t="str">
        <f aca="false">IF(N180="","",ROUND(IF(Settings!$B$27,MIN($M180,Settings!$B$30),$M180)*O180,0))</f>
        <v/>
      </c>
      <c r="R180" s="34" t="str">
        <f aca="false">IF(N180="","",P180+Q180)</f>
        <v/>
      </c>
      <c r="S180" s="34" t="str">
        <f aca="false">IF(N180="","",ROUND(MIN($M180,Settings!$B$29)*N180,0)+ROUND(MIN($M180,Settings!$B$30)*O180,0))</f>
        <v/>
      </c>
      <c r="T180" s="34" t="str">
        <f aca="false">IF(N180="","",IF(UPPER(L180)="N",0,S180))</f>
        <v/>
      </c>
      <c r="U180" s="25" t="str">
        <f aca="false">IF(N180="","",ROUND(R180*Settings!$B$18,0))</f>
        <v/>
      </c>
      <c r="V180" s="25" t="str">
        <f aca="false">IF(N180="","",ROUND(R180*Settings!$B$19,0)-X180)</f>
        <v/>
      </c>
      <c r="W180" s="25" t="str">
        <f aca="false">IF(N180="","",IF(Settings!$B$31,ROUND(R180*Settings!$B$22,0),0))</f>
        <v/>
      </c>
      <c r="X180" s="25" t="str">
        <f aca="false">IF(N180="","",MIN(ROUND(T180*Settings!$B$20,0),ROUND(R180*Settings!$B$19,0)))</f>
        <v/>
      </c>
      <c r="Y180" s="25" t="str">
        <f aca="false">IF(N180="","",IF(Settings!$B$31,ROUND(S180*Settings!$B$21,0),0))</f>
        <v/>
      </c>
      <c r="Z180" s="25" t="str">
        <f aca="false">IF(N180="","",U180+V180+X180+W180+Y180)</f>
        <v/>
      </c>
      <c r="AA180" s="7" t="str">
        <f aca="false">IF(COUNT(C180:H180)=0,"",TRIM(IF(UPPER(K180)="N","Not a PF member, skipped. ","")&amp;IF(AND(UPPER(K180)&lt;&gt;"N",N(M180)&lt;=0),"PF wage is zero, skipped. ","")&amp;IF(AND(UPPER(K180)&lt;&gt;"N",N(M180)&gt;0,UPPER(L180)="N"),"Pension not applicable, whole 12% goes to EPF. ","")&amp;IF(AND(ISNUMBER(H180),ABS(SUM(C180:G180)-N(H180))&gt;1),"Heads in the file add up to "&amp;SUM(C180:G180)&amp;", Gross is "&amp;H180&amp;" (a pay head may be missing). ","")&amp;IF(AND(Settings!$B$32,N(H180)&gt;0,ISNUMBER(M180),N(M180)&lt;H180*0.5-0.5),"50% check: PF wage is "&amp;TEXT(M180/H180,"0%")&amp;" of gross. ","")&amp;IF(AND(N(M180)&gt;0,UPPER(K180)&lt;&gt;"N",N(N180)+N(O180)=0),"No days to count. ","")))</f>
        <v/>
      </c>
    </row>
    <row r="181" customFormat="false" ht="15" hidden="false" customHeight="false" outlineLevel="0" collapsed="false">
      <c r="A181" s="14"/>
      <c r="B181" s="14"/>
      <c r="C181" s="17"/>
      <c r="D181" s="17"/>
      <c r="E181" s="17"/>
      <c r="F181" s="17"/>
      <c r="G181" s="17"/>
      <c r="H181" s="17"/>
      <c r="I181" s="14"/>
      <c r="J181" s="14"/>
      <c r="K181" s="14"/>
      <c r="L181" s="14"/>
      <c r="M181" s="34" t="str">
        <f aca="false">IF(COUNT(C181:H181)=0,"",IFERROR(MAX(0,ROUND(IF(Settings!$B$33,IF(H181="",SUM(C181:G181),H181)-SUMPRODUCT(($C$4:$G$4="Y")*C181:G181),SUMPRODUCT(($C$4:$G$4="Y")*C181:G181)),0)),"Check inputs"))</f>
        <v/>
      </c>
      <c r="N181" s="35" t="str">
        <f aca="false">IF(AND(N($M181)&gt;0,UPPER($K181)&lt;&gt;"N"),IF(Settings!$B$28,MAX(0,MIN(Settings!$B$16,IF(I181="",Settings!$B$16,I181)))/Settings!$B$15,1),"")</f>
        <v/>
      </c>
      <c r="O181" s="35" t="str">
        <f aca="false">IF(AND(N($M181)&gt;0,UPPER($K181)&lt;&gt;"N"),IF(Settings!$B$28,MAX(0,MIN(Settings!$B$17,IF(J181="",Settings!$B$17,J181)))/Settings!$B$15,0),"")</f>
        <v/>
      </c>
      <c r="P181" s="34" t="str">
        <f aca="false">IF(N181="","",ROUND(IF(Settings!$B$27,MIN($M181,Settings!$B$29),$M181)*N181,0))</f>
        <v/>
      </c>
      <c r="Q181" s="34" t="str">
        <f aca="false">IF(N181="","",ROUND(IF(Settings!$B$27,MIN($M181,Settings!$B$30),$M181)*O181,0))</f>
        <v/>
      </c>
      <c r="R181" s="34" t="str">
        <f aca="false">IF(N181="","",P181+Q181)</f>
        <v/>
      </c>
      <c r="S181" s="34" t="str">
        <f aca="false">IF(N181="","",ROUND(MIN($M181,Settings!$B$29)*N181,0)+ROUND(MIN($M181,Settings!$B$30)*O181,0))</f>
        <v/>
      </c>
      <c r="T181" s="34" t="str">
        <f aca="false">IF(N181="","",IF(UPPER(L181)="N",0,S181))</f>
        <v/>
      </c>
      <c r="U181" s="25" t="str">
        <f aca="false">IF(N181="","",ROUND(R181*Settings!$B$18,0))</f>
        <v/>
      </c>
      <c r="V181" s="25" t="str">
        <f aca="false">IF(N181="","",ROUND(R181*Settings!$B$19,0)-X181)</f>
        <v/>
      </c>
      <c r="W181" s="25" t="str">
        <f aca="false">IF(N181="","",IF(Settings!$B$31,ROUND(R181*Settings!$B$22,0),0))</f>
        <v/>
      </c>
      <c r="X181" s="25" t="str">
        <f aca="false">IF(N181="","",MIN(ROUND(T181*Settings!$B$20,0),ROUND(R181*Settings!$B$19,0)))</f>
        <v/>
      </c>
      <c r="Y181" s="25" t="str">
        <f aca="false">IF(N181="","",IF(Settings!$B$31,ROUND(S181*Settings!$B$21,0),0))</f>
        <v/>
      </c>
      <c r="Z181" s="25" t="str">
        <f aca="false">IF(N181="","",U181+V181+X181+W181+Y181)</f>
        <v/>
      </c>
      <c r="AA181" s="7" t="str">
        <f aca="false">IF(COUNT(C181:H181)=0,"",TRIM(IF(UPPER(K181)="N","Not a PF member, skipped. ","")&amp;IF(AND(UPPER(K181)&lt;&gt;"N",N(M181)&lt;=0),"PF wage is zero, skipped. ","")&amp;IF(AND(UPPER(K181)&lt;&gt;"N",N(M181)&gt;0,UPPER(L181)="N"),"Pension not applicable, whole 12% goes to EPF. ","")&amp;IF(AND(ISNUMBER(H181),ABS(SUM(C181:G181)-N(H181))&gt;1),"Heads in the file add up to "&amp;SUM(C181:G181)&amp;", Gross is "&amp;H181&amp;" (a pay head may be missing). ","")&amp;IF(AND(Settings!$B$32,N(H181)&gt;0,ISNUMBER(M181),N(M181)&lt;H181*0.5-0.5),"50% check: PF wage is "&amp;TEXT(M181/H181,"0%")&amp;" of gross. ","")&amp;IF(AND(N(M181)&gt;0,UPPER(K181)&lt;&gt;"N",N(N181)+N(O181)=0),"No days to count. ","")))</f>
        <v/>
      </c>
    </row>
    <row r="182" customFormat="false" ht="15" hidden="false" customHeight="false" outlineLevel="0" collapsed="false">
      <c r="A182" s="14"/>
      <c r="B182" s="14"/>
      <c r="C182" s="17"/>
      <c r="D182" s="17"/>
      <c r="E182" s="17"/>
      <c r="F182" s="17"/>
      <c r="G182" s="17"/>
      <c r="H182" s="17"/>
      <c r="I182" s="14"/>
      <c r="J182" s="14"/>
      <c r="K182" s="14"/>
      <c r="L182" s="14"/>
      <c r="M182" s="34" t="str">
        <f aca="false">IF(COUNT(C182:H182)=0,"",IFERROR(MAX(0,ROUND(IF(Settings!$B$33,IF(H182="",SUM(C182:G182),H182)-SUMPRODUCT(($C$4:$G$4="Y")*C182:G182),SUMPRODUCT(($C$4:$G$4="Y")*C182:G182)),0)),"Check inputs"))</f>
        <v/>
      </c>
      <c r="N182" s="35" t="str">
        <f aca="false">IF(AND(N($M182)&gt;0,UPPER($K182)&lt;&gt;"N"),IF(Settings!$B$28,MAX(0,MIN(Settings!$B$16,IF(I182="",Settings!$B$16,I182)))/Settings!$B$15,1),"")</f>
        <v/>
      </c>
      <c r="O182" s="35" t="str">
        <f aca="false">IF(AND(N($M182)&gt;0,UPPER($K182)&lt;&gt;"N"),IF(Settings!$B$28,MAX(0,MIN(Settings!$B$17,IF(J182="",Settings!$B$17,J182)))/Settings!$B$15,0),"")</f>
        <v/>
      </c>
      <c r="P182" s="34" t="str">
        <f aca="false">IF(N182="","",ROUND(IF(Settings!$B$27,MIN($M182,Settings!$B$29),$M182)*N182,0))</f>
        <v/>
      </c>
      <c r="Q182" s="34" t="str">
        <f aca="false">IF(N182="","",ROUND(IF(Settings!$B$27,MIN($M182,Settings!$B$30),$M182)*O182,0))</f>
        <v/>
      </c>
      <c r="R182" s="34" t="str">
        <f aca="false">IF(N182="","",P182+Q182)</f>
        <v/>
      </c>
      <c r="S182" s="34" t="str">
        <f aca="false">IF(N182="","",ROUND(MIN($M182,Settings!$B$29)*N182,0)+ROUND(MIN($M182,Settings!$B$30)*O182,0))</f>
        <v/>
      </c>
      <c r="T182" s="34" t="str">
        <f aca="false">IF(N182="","",IF(UPPER(L182)="N",0,S182))</f>
        <v/>
      </c>
      <c r="U182" s="25" t="str">
        <f aca="false">IF(N182="","",ROUND(R182*Settings!$B$18,0))</f>
        <v/>
      </c>
      <c r="V182" s="25" t="str">
        <f aca="false">IF(N182="","",ROUND(R182*Settings!$B$19,0)-X182)</f>
        <v/>
      </c>
      <c r="W182" s="25" t="str">
        <f aca="false">IF(N182="","",IF(Settings!$B$31,ROUND(R182*Settings!$B$22,0),0))</f>
        <v/>
      </c>
      <c r="X182" s="25" t="str">
        <f aca="false">IF(N182="","",MIN(ROUND(T182*Settings!$B$20,0),ROUND(R182*Settings!$B$19,0)))</f>
        <v/>
      </c>
      <c r="Y182" s="25" t="str">
        <f aca="false">IF(N182="","",IF(Settings!$B$31,ROUND(S182*Settings!$B$21,0),0))</f>
        <v/>
      </c>
      <c r="Z182" s="25" t="str">
        <f aca="false">IF(N182="","",U182+V182+X182+W182+Y182)</f>
        <v/>
      </c>
      <c r="AA182" s="7" t="str">
        <f aca="false">IF(COUNT(C182:H182)=0,"",TRIM(IF(UPPER(K182)="N","Not a PF member, skipped. ","")&amp;IF(AND(UPPER(K182)&lt;&gt;"N",N(M182)&lt;=0),"PF wage is zero, skipped. ","")&amp;IF(AND(UPPER(K182)&lt;&gt;"N",N(M182)&gt;0,UPPER(L182)="N"),"Pension not applicable, whole 12% goes to EPF. ","")&amp;IF(AND(ISNUMBER(H182),ABS(SUM(C182:G182)-N(H182))&gt;1),"Heads in the file add up to "&amp;SUM(C182:G182)&amp;", Gross is "&amp;H182&amp;" (a pay head may be missing). ","")&amp;IF(AND(Settings!$B$32,N(H182)&gt;0,ISNUMBER(M182),N(M182)&lt;H182*0.5-0.5),"50% check: PF wage is "&amp;TEXT(M182/H182,"0%")&amp;" of gross. ","")&amp;IF(AND(N(M182)&gt;0,UPPER(K182)&lt;&gt;"N",N(N182)+N(O182)=0),"No days to count. ","")))</f>
        <v/>
      </c>
    </row>
    <row r="183" customFormat="false" ht="15" hidden="false" customHeight="false" outlineLevel="0" collapsed="false">
      <c r="A183" s="14"/>
      <c r="B183" s="14"/>
      <c r="C183" s="17"/>
      <c r="D183" s="17"/>
      <c r="E183" s="17"/>
      <c r="F183" s="17"/>
      <c r="G183" s="17"/>
      <c r="H183" s="17"/>
      <c r="I183" s="14"/>
      <c r="J183" s="14"/>
      <c r="K183" s="14"/>
      <c r="L183" s="14"/>
      <c r="M183" s="34" t="str">
        <f aca="false">IF(COUNT(C183:H183)=0,"",IFERROR(MAX(0,ROUND(IF(Settings!$B$33,IF(H183="",SUM(C183:G183),H183)-SUMPRODUCT(($C$4:$G$4="Y")*C183:G183),SUMPRODUCT(($C$4:$G$4="Y")*C183:G183)),0)),"Check inputs"))</f>
        <v/>
      </c>
      <c r="N183" s="35" t="str">
        <f aca="false">IF(AND(N($M183)&gt;0,UPPER($K183)&lt;&gt;"N"),IF(Settings!$B$28,MAX(0,MIN(Settings!$B$16,IF(I183="",Settings!$B$16,I183)))/Settings!$B$15,1),"")</f>
        <v/>
      </c>
      <c r="O183" s="35" t="str">
        <f aca="false">IF(AND(N($M183)&gt;0,UPPER($K183)&lt;&gt;"N"),IF(Settings!$B$28,MAX(0,MIN(Settings!$B$17,IF(J183="",Settings!$B$17,J183)))/Settings!$B$15,0),"")</f>
        <v/>
      </c>
      <c r="P183" s="34" t="str">
        <f aca="false">IF(N183="","",ROUND(IF(Settings!$B$27,MIN($M183,Settings!$B$29),$M183)*N183,0))</f>
        <v/>
      </c>
      <c r="Q183" s="34" t="str">
        <f aca="false">IF(N183="","",ROUND(IF(Settings!$B$27,MIN($M183,Settings!$B$30),$M183)*O183,0))</f>
        <v/>
      </c>
      <c r="R183" s="34" t="str">
        <f aca="false">IF(N183="","",P183+Q183)</f>
        <v/>
      </c>
      <c r="S183" s="34" t="str">
        <f aca="false">IF(N183="","",ROUND(MIN($M183,Settings!$B$29)*N183,0)+ROUND(MIN($M183,Settings!$B$30)*O183,0))</f>
        <v/>
      </c>
      <c r="T183" s="34" t="str">
        <f aca="false">IF(N183="","",IF(UPPER(L183)="N",0,S183))</f>
        <v/>
      </c>
      <c r="U183" s="25" t="str">
        <f aca="false">IF(N183="","",ROUND(R183*Settings!$B$18,0))</f>
        <v/>
      </c>
      <c r="V183" s="25" t="str">
        <f aca="false">IF(N183="","",ROUND(R183*Settings!$B$19,0)-X183)</f>
        <v/>
      </c>
      <c r="W183" s="25" t="str">
        <f aca="false">IF(N183="","",IF(Settings!$B$31,ROUND(R183*Settings!$B$22,0),0))</f>
        <v/>
      </c>
      <c r="X183" s="25" t="str">
        <f aca="false">IF(N183="","",MIN(ROUND(T183*Settings!$B$20,0),ROUND(R183*Settings!$B$19,0)))</f>
        <v/>
      </c>
      <c r="Y183" s="25" t="str">
        <f aca="false">IF(N183="","",IF(Settings!$B$31,ROUND(S183*Settings!$B$21,0),0))</f>
        <v/>
      </c>
      <c r="Z183" s="25" t="str">
        <f aca="false">IF(N183="","",U183+V183+X183+W183+Y183)</f>
        <v/>
      </c>
      <c r="AA183" s="7" t="str">
        <f aca="false">IF(COUNT(C183:H183)=0,"",TRIM(IF(UPPER(K183)="N","Not a PF member, skipped. ","")&amp;IF(AND(UPPER(K183)&lt;&gt;"N",N(M183)&lt;=0),"PF wage is zero, skipped. ","")&amp;IF(AND(UPPER(K183)&lt;&gt;"N",N(M183)&gt;0,UPPER(L183)="N"),"Pension not applicable, whole 12% goes to EPF. ","")&amp;IF(AND(ISNUMBER(H183),ABS(SUM(C183:G183)-N(H183))&gt;1),"Heads in the file add up to "&amp;SUM(C183:G183)&amp;", Gross is "&amp;H183&amp;" (a pay head may be missing). ","")&amp;IF(AND(Settings!$B$32,N(H183)&gt;0,ISNUMBER(M183),N(M183)&lt;H183*0.5-0.5),"50% check: PF wage is "&amp;TEXT(M183/H183,"0%")&amp;" of gross. ","")&amp;IF(AND(N(M183)&gt;0,UPPER(K183)&lt;&gt;"N",N(N183)+N(O183)=0),"No days to count. ","")))</f>
        <v/>
      </c>
    </row>
    <row r="184" customFormat="false" ht="15" hidden="false" customHeight="false" outlineLevel="0" collapsed="false">
      <c r="A184" s="14"/>
      <c r="B184" s="14"/>
      <c r="C184" s="17"/>
      <c r="D184" s="17"/>
      <c r="E184" s="17"/>
      <c r="F184" s="17"/>
      <c r="G184" s="17"/>
      <c r="H184" s="17"/>
      <c r="I184" s="14"/>
      <c r="J184" s="14"/>
      <c r="K184" s="14"/>
      <c r="L184" s="14"/>
      <c r="M184" s="34" t="str">
        <f aca="false">IF(COUNT(C184:H184)=0,"",IFERROR(MAX(0,ROUND(IF(Settings!$B$33,IF(H184="",SUM(C184:G184),H184)-SUMPRODUCT(($C$4:$G$4="Y")*C184:G184),SUMPRODUCT(($C$4:$G$4="Y")*C184:G184)),0)),"Check inputs"))</f>
        <v/>
      </c>
      <c r="N184" s="35" t="str">
        <f aca="false">IF(AND(N($M184)&gt;0,UPPER($K184)&lt;&gt;"N"),IF(Settings!$B$28,MAX(0,MIN(Settings!$B$16,IF(I184="",Settings!$B$16,I184)))/Settings!$B$15,1),"")</f>
        <v/>
      </c>
      <c r="O184" s="35" t="str">
        <f aca="false">IF(AND(N($M184)&gt;0,UPPER($K184)&lt;&gt;"N"),IF(Settings!$B$28,MAX(0,MIN(Settings!$B$17,IF(J184="",Settings!$B$17,J184)))/Settings!$B$15,0),"")</f>
        <v/>
      </c>
      <c r="P184" s="34" t="str">
        <f aca="false">IF(N184="","",ROUND(IF(Settings!$B$27,MIN($M184,Settings!$B$29),$M184)*N184,0))</f>
        <v/>
      </c>
      <c r="Q184" s="34" t="str">
        <f aca="false">IF(N184="","",ROUND(IF(Settings!$B$27,MIN($M184,Settings!$B$30),$M184)*O184,0))</f>
        <v/>
      </c>
      <c r="R184" s="34" t="str">
        <f aca="false">IF(N184="","",P184+Q184)</f>
        <v/>
      </c>
      <c r="S184" s="34" t="str">
        <f aca="false">IF(N184="","",ROUND(MIN($M184,Settings!$B$29)*N184,0)+ROUND(MIN($M184,Settings!$B$30)*O184,0))</f>
        <v/>
      </c>
      <c r="T184" s="34" t="str">
        <f aca="false">IF(N184="","",IF(UPPER(L184)="N",0,S184))</f>
        <v/>
      </c>
      <c r="U184" s="25" t="str">
        <f aca="false">IF(N184="","",ROUND(R184*Settings!$B$18,0))</f>
        <v/>
      </c>
      <c r="V184" s="25" t="str">
        <f aca="false">IF(N184="","",ROUND(R184*Settings!$B$19,0)-X184)</f>
        <v/>
      </c>
      <c r="W184" s="25" t="str">
        <f aca="false">IF(N184="","",IF(Settings!$B$31,ROUND(R184*Settings!$B$22,0),0))</f>
        <v/>
      </c>
      <c r="X184" s="25" t="str">
        <f aca="false">IF(N184="","",MIN(ROUND(T184*Settings!$B$20,0),ROUND(R184*Settings!$B$19,0)))</f>
        <v/>
      </c>
      <c r="Y184" s="25" t="str">
        <f aca="false">IF(N184="","",IF(Settings!$B$31,ROUND(S184*Settings!$B$21,0),0))</f>
        <v/>
      </c>
      <c r="Z184" s="25" t="str">
        <f aca="false">IF(N184="","",U184+V184+X184+W184+Y184)</f>
        <v/>
      </c>
      <c r="AA184" s="7" t="str">
        <f aca="false">IF(COUNT(C184:H184)=0,"",TRIM(IF(UPPER(K184)="N","Not a PF member, skipped. ","")&amp;IF(AND(UPPER(K184)&lt;&gt;"N",N(M184)&lt;=0),"PF wage is zero, skipped. ","")&amp;IF(AND(UPPER(K184)&lt;&gt;"N",N(M184)&gt;0,UPPER(L184)="N"),"Pension not applicable, whole 12% goes to EPF. ","")&amp;IF(AND(ISNUMBER(H184),ABS(SUM(C184:G184)-N(H184))&gt;1),"Heads in the file add up to "&amp;SUM(C184:G184)&amp;", Gross is "&amp;H184&amp;" (a pay head may be missing). ","")&amp;IF(AND(Settings!$B$32,N(H184)&gt;0,ISNUMBER(M184),N(M184)&lt;H184*0.5-0.5),"50% check: PF wage is "&amp;TEXT(M184/H184,"0%")&amp;" of gross. ","")&amp;IF(AND(N(M184)&gt;0,UPPER(K184)&lt;&gt;"N",N(N184)+N(O184)=0),"No days to count. ","")))</f>
        <v/>
      </c>
    </row>
    <row r="185" customFormat="false" ht="15" hidden="false" customHeight="false" outlineLevel="0" collapsed="false">
      <c r="A185" s="14"/>
      <c r="B185" s="14"/>
      <c r="C185" s="17"/>
      <c r="D185" s="17"/>
      <c r="E185" s="17"/>
      <c r="F185" s="17"/>
      <c r="G185" s="17"/>
      <c r="H185" s="17"/>
      <c r="I185" s="14"/>
      <c r="J185" s="14"/>
      <c r="K185" s="14"/>
      <c r="L185" s="14"/>
      <c r="M185" s="34" t="str">
        <f aca="false">IF(COUNT(C185:H185)=0,"",IFERROR(MAX(0,ROUND(IF(Settings!$B$33,IF(H185="",SUM(C185:G185),H185)-SUMPRODUCT(($C$4:$G$4="Y")*C185:G185),SUMPRODUCT(($C$4:$G$4="Y")*C185:G185)),0)),"Check inputs"))</f>
        <v/>
      </c>
      <c r="N185" s="35" t="str">
        <f aca="false">IF(AND(N($M185)&gt;0,UPPER($K185)&lt;&gt;"N"),IF(Settings!$B$28,MAX(0,MIN(Settings!$B$16,IF(I185="",Settings!$B$16,I185)))/Settings!$B$15,1),"")</f>
        <v/>
      </c>
      <c r="O185" s="35" t="str">
        <f aca="false">IF(AND(N($M185)&gt;0,UPPER($K185)&lt;&gt;"N"),IF(Settings!$B$28,MAX(0,MIN(Settings!$B$17,IF(J185="",Settings!$B$17,J185)))/Settings!$B$15,0),"")</f>
        <v/>
      </c>
      <c r="P185" s="34" t="str">
        <f aca="false">IF(N185="","",ROUND(IF(Settings!$B$27,MIN($M185,Settings!$B$29),$M185)*N185,0))</f>
        <v/>
      </c>
      <c r="Q185" s="34" t="str">
        <f aca="false">IF(N185="","",ROUND(IF(Settings!$B$27,MIN($M185,Settings!$B$30),$M185)*O185,0))</f>
        <v/>
      </c>
      <c r="R185" s="34" t="str">
        <f aca="false">IF(N185="","",P185+Q185)</f>
        <v/>
      </c>
      <c r="S185" s="34" t="str">
        <f aca="false">IF(N185="","",ROUND(MIN($M185,Settings!$B$29)*N185,0)+ROUND(MIN($M185,Settings!$B$30)*O185,0))</f>
        <v/>
      </c>
      <c r="T185" s="34" t="str">
        <f aca="false">IF(N185="","",IF(UPPER(L185)="N",0,S185))</f>
        <v/>
      </c>
      <c r="U185" s="25" t="str">
        <f aca="false">IF(N185="","",ROUND(R185*Settings!$B$18,0))</f>
        <v/>
      </c>
      <c r="V185" s="25" t="str">
        <f aca="false">IF(N185="","",ROUND(R185*Settings!$B$19,0)-X185)</f>
        <v/>
      </c>
      <c r="W185" s="25" t="str">
        <f aca="false">IF(N185="","",IF(Settings!$B$31,ROUND(R185*Settings!$B$22,0),0))</f>
        <v/>
      </c>
      <c r="X185" s="25" t="str">
        <f aca="false">IF(N185="","",MIN(ROUND(T185*Settings!$B$20,0),ROUND(R185*Settings!$B$19,0)))</f>
        <v/>
      </c>
      <c r="Y185" s="25" t="str">
        <f aca="false">IF(N185="","",IF(Settings!$B$31,ROUND(S185*Settings!$B$21,0),0))</f>
        <v/>
      </c>
      <c r="Z185" s="25" t="str">
        <f aca="false">IF(N185="","",U185+V185+X185+W185+Y185)</f>
        <v/>
      </c>
      <c r="AA185" s="7" t="str">
        <f aca="false">IF(COUNT(C185:H185)=0,"",TRIM(IF(UPPER(K185)="N","Not a PF member, skipped. ","")&amp;IF(AND(UPPER(K185)&lt;&gt;"N",N(M185)&lt;=0),"PF wage is zero, skipped. ","")&amp;IF(AND(UPPER(K185)&lt;&gt;"N",N(M185)&gt;0,UPPER(L185)="N"),"Pension not applicable, whole 12% goes to EPF. ","")&amp;IF(AND(ISNUMBER(H185),ABS(SUM(C185:G185)-N(H185))&gt;1),"Heads in the file add up to "&amp;SUM(C185:G185)&amp;", Gross is "&amp;H185&amp;" (a pay head may be missing). ","")&amp;IF(AND(Settings!$B$32,N(H185)&gt;0,ISNUMBER(M185),N(M185)&lt;H185*0.5-0.5),"50% check: PF wage is "&amp;TEXT(M185/H185,"0%")&amp;" of gross. ","")&amp;IF(AND(N(M185)&gt;0,UPPER(K185)&lt;&gt;"N",N(N185)+N(O185)=0),"No days to count. ","")))</f>
        <v/>
      </c>
    </row>
    <row r="186" customFormat="false" ht="15" hidden="false" customHeight="false" outlineLevel="0" collapsed="false">
      <c r="A186" s="14"/>
      <c r="B186" s="14"/>
      <c r="C186" s="17"/>
      <c r="D186" s="17"/>
      <c r="E186" s="17"/>
      <c r="F186" s="17"/>
      <c r="G186" s="17"/>
      <c r="H186" s="17"/>
      <c r="I186" s="14"/>
      <c r="J186" s="14"/>
      <c r="K186" s="14"/>
      <c r="L186" s="14"/>
      <c r="M186" s="34" t="str">
        <f aca="false">IF(COUNT(C186:H186)=0,"",IFERROR(MAX(0,ROUND(IF(Settings!$B$33,IF(H186="",SUM(C186:G186),H186)-SUMPRODUCT(($C$4:$G$4="Y")*C186:G186),SUMPRODUCT(($C$4:$G$4="Y")*C186:G186)),0)),"Check inputs"))</f>
        <v/>
      </c>
      <c r="N186" s="35" t="str">
        <f aca="false">IF(AND(N($M186)&gt;0,UPPER($K186)&lt;&gt;"N"),IF(Settings!$B$28,MAX(0,MIN(Settings!$B$16,IF(I186="",Settings!$B$16,I186)))/Settings!$B$15,1),"")</f>
        <v/>
      </c>
      <c r="O186" s="35" t="str">
        <f aca="false">IF(AND(N($M186)&gt;0,UPPER($K186)&lt;&gt;"N"),IF(Settings!$B$28,MAX(0,MIN(Settings!$B$17,IF(J186="",Settings!$B$17,J186)))/Settings!$B$15,0),"")</f>
        <v/>
      </c>
      <c r="P186" s="34" t="str">
        <f aca="false">IF(N186="","",ROUND(IF(Settings!$B$27,MIN($M186,Settings!$B$29),$M186)*N186,0))</f>
        <v/>
      </c>
      <c r="Q186" s="34" t="str">
        <f aca="false">IF(N186="","",ROUND(IF(Settings!$B$27,MIN($M186,Settings!$B$30),$M186)*O186,0))</f>
        <v/>
      </c>
      <c r="R186" s="34" t="str">
        <f aca="false">IF(N186="","",P186+Q186)</f>
        <v/>
      </c>
      <c r="S186" s="34" t="str">
        <f aca="false">IF(N186="","",ROUND(MIN($M186,Settings!$B$29)*N186,0)+ROUND(MIN($M186,Settings!$B$30)*O186,0))</f>
        <v/>
      </c>
      <c r="T186" s="34" t="str">
        <f aca="false">IF(N186="","",IF(UPPER(L186)="N",0,S186))</f>
        <v/>
      </c>
      <c r="U186" s="25" t="str">
        <f aca="false">IF(N186="","",ROUND(R186*Settings!$B$18,0))</f>
        <v/>
      </c>
      <c r="V186" s="25" t="str">
        <f aca="false">IF(N186="","",ROUND(R186*Settings!$B$19,0)-X186)</f>
        <v/>
      </c>
      <c r="W186" s="25" t="str">
        <f aca="false">IF(N186="","",IF(Settings!$B$31,ROUND(R186*Settings!$B$22,0),0))</f>
        <v/>
      </c>
      <c r="X186" s="25" t="str">
        <f aca="false">IF(N186="","",MIN(ROUND(T186*Settings!$B$20,0),ROUND(R186*Settings!$B$19,0)))</f>
        <v/>
      </c>
      <c r="Y186" s="25" t="str">
        <f aca="false">IF(N186="","",IF(Settings!$B$31,ROUND(S186*Settings!$B$21,0),0))</f>
        <v/>
      </c>
      <c r="Z186" s="25" t="str">
        <f aca="false">IF(N186="","",U186+V186+X186+W186+Y186)</f>
        <v/>
      </c>
      <c r="AA186" s="7" t="str">
        <f aca="false">IF(COUNT(C186:H186)=0,"",TRIM(IF(UPPER(K186)="N","Not a PF member, skipped. ","")&amp;IF(AND(UPPER(K186)&lt;&gt;"N",N(M186)&lt;=0),"PF wage is zero, skipped. ","")&amp;IF(AND(UPPER(K186)&lt;&gt;"N",N(M186)&gt;0,UPPER(L186)="N"),"Pension not applicable, whole 12% goes to EPF. ","")&amp;IF(AND(ISNUMBER(H186),ABS(SUM(C186:G186)-N(H186))&gt;1),"Heads in the file add up to "&amp;SUM(C186:G186)&amp;", Gross is "&amp;H186&amp;" (a pay head may be missing). ","")&amp;IF(AND(Settings!$B$32,N(H186)&gt;0,ISNUMBER(M186),N(M186)&lt;H186*0.5-0.5),"50% check: PF wage is "&amp;TEXT(M186/H186,"0%")&amp;" of gross. ","")&amp;IF(AND(N(M186)&gt;0,UPPER(K186)&lt;&gt;"N",N(N186)+N(O186)=0),"No days to count. ","")))</f>
        <v/>
      </c>
    </row>
    <row r="187" customFormat="false" ht="15" hidden="false" customHeight="false" outlineLevel="0" collapsed="false">
      <c r="A187" s="14"/>
      <c r="B187" s="14"/>
      <c r="C187" s="17"/>
      <c r="D187" s="17"/>
      <c r="E187" s="17"/>
      <c r="F187" s="17"/>
      <c r="G187" s="17"/>
      <c r="H187" s="17"/>
      <c r="I187" s="14"/>
      <c r="J187" s="14"/>
      <c r="K187" s="14"/>
      <c r="L187" s="14"/>
      <c r="M187" s="34" t="str">
        <f aca="false">IF(COUNT(C187:H187)=0,"",IFERROR(MAX(0,ROUND(IF(Settings!$B$33,IF(H187="",SUM(C187:G187),H187)-SUMPRODUCT(($C$4:$G$4="Y")*C187:G187),SUMPRODUCT(($C$4:$G$4="Y")*C187:G187)),0)),"Check inputs"))</f>
        <v/>
      </c>
      <c r="N187" s="35" t="str">
        <f aca="false">IF(AND(N($M187)&gt;0,UPPER($K187)&lt;&gt;"N"),IF(Settings!$B$28,MAX(0,MIN(Settings!$B$16,IF(I187="",Settings!$B$16,I187)))/Settings!$B$15,1),"")</f>
        <v/>
      </c>
      <c r="O187" s="35" t="str">
        <f aca="false">IF(AND(N($M187)&gt;0,UPPER($K187)&lt;&gt;"N"),IF(Settings!$B$28,MAX(0,MIN(Settings!$B$17,IF(J187="",Settings!$B$17,J187)))/Settings!$B$15,0),"")</f>
        <v/>
      </c>
      <c r="P187" s="34" t="str">
        <f aca="false">IF(N187="","",ROUND(IF(Settings!$B$27,MIN($M187,Settings!$B$29),$M187)*N187,0))</f>
        <v/>
      </c>
      <c r="Q187" s="34" t="str">
        <f aca="false">IF(N187="","",ROUND(IF(Settings!$B$27,MIN($M187,Settings!$B$30),$M187)*O187,0))</f>
        <v/>
      </c>
      <c r="R187" s="34" t="str">
        <f aca="false">IF(N187="","",P187+Q187)</f>
        <v/>
      </c>
      <c r="S187" s="34" t="str">
        <f aca="false">IF(N187="","",ROUND(MIN($M187,Settings!$B$29)*N187,0)+ROUND(MIN($M187,Settings!$B$30)*O187,0))</f>
        <v/>
      </c>
      <c r="T187" s="34" t="str">
        <f aca="false">IF(N187="","",IF(UPPER(L187)="N",0,S187))</f>
        <v/>
      </c>
      <c r="U187" s="25" t="str">
        <f aca="false">IF(N187="","",ROUND(R187*Settings!$B$18,0))</f>
        <v/>
      </c>
      <c r="V187" s="25" t="str">
        <f aca="false">IF(N187="","",ROUND(R187*Settings!$B$19,0)-X187)</f>
        <v/>
      </c>
      <c r="W187" s="25" t="str">
        <f aca="false">IF(N187="","",IF(Settings!$B$31,ROUND(R187*Settings!$B$22,0),0))</f>
        <v/>
      </c>
      <c r="X187" s="25" t="str">
        <f aca="false">IF(N187="","",MIN(ROUND(T187*Settings!$B$20,0),ROUND(R187*Settings!$B$19,0)))</f>
        <v/>
      </c>
      <c r="Y187" s="25" t="str">
        <f aca="false">IF(N187="","",IF(Settings!$B$31,ROUND(S187*Settings!$B$21,0),0))</f>
        <v/>
      </c>
      <c r="Z187" s="25" t="str">
        <f aca="false">IF(N187="","",U187+V187+X187+W187+Y187)</f>
        <v/>
      </c>
      <c r="AA187" s="7" t="str">
        <f aca="false">IF(COUNT(C187:H187)=0,"",TRIM(IF(UPPER(K187)="N","Not a PF member, skipped. ","")&amp;IF(AND(UPPER(K187)&lt;&gt;"N",N(M187)&lt;=0),"PF wage is zero, skipped. ","")&amp;IF(AND(UPPER(K187)&lt;&gt;"N",N(M187)&gt;0,UPPER(L187)="N"),"Pension not applicable, whole 12% goes to EPF. ","")&amp;IF(AND(ISNUMBER(H187),ABS(SUM(C187:G187)-N(H187))&gt;1),"Heads in the file add up to "&amp;SUM(C187:G187)&amp;", Gross is "&amp;H187&amp;" (a pay head may be missing). ","")&amp;IF(AND(Settings!$B$32,N(H187)&gt;0,ISNUMBER(M187),N(M187)&lt;H187*0.5-0.5),"50% check: PF wage is "&amp;TEXT(M187/H187,"0%")&amp;" of gross. ","")&amp;IF(AND(N(M187)&gt;0,UPPER(K187)&lt;&gt;"N",N(N187)+N(O187)=0),"No days to count. ","")))</f>
        <v/>
      </c>
    </row>
    <row r="188" customFormat="false" ht="15" hidden="false" customHeight="false" outlineLevel="0" collapsed="false">
      <c r="A188" s="14"/>
      <c r="B188" s="14"/>
      <c r="C188" s="17"/>
      <c r="D188" s="17"/>
      <c r="E188" s="17"/>
      <c r="F188" s="17"/>
      <c r="G188" s="17"/>
      <c r="H188" s="17"/>
      <c r="I188" s="14"/>
      <c r="J188" s="14"/>
      <c r="K188" s="14"/>
      <c r="L188" s="14"/>
      <c r="M188" s="34" t="str">
        <f aca="false">IF(COUNT(C188:H188)=0,"",IFERROR(MAX(0,ROUND(IF(Settings!$B$33,IF(H188="",SUM(C188:G188),H188)-SUMPRODUCT(($C$4:$G$4="Y")*C188:G188),SUMPRODUCT(($C$4:$G$4="Y")*C188:G188)),0)),"Check inputs"))</f>
        <v/>
      </c>
      <c r="N188" s="35" t="str">
        <f aca="false">IF(AND(N($M188)&gt;0,UPPER($K188)&lt;&gt;"N"),IF(Settings!$B$28,MAX(0,MIN(Settings!$B$16,IF(I188="",Settings!$B$16,I188)))/Settings!$B$15,1),"")</f>
        <v/>
      </c>
      <c r="O188" s="35" t="str">
        <f aca="false">IF(AND(N($M188)&gt;0,UPPER($K188)&lt;&gt;"N"),IF(Settings!$B$28,MAX(0,MIN(Settings!$B$17,IF(J188="",Settings!$B$17,J188)))/Settings!$B$15,0),"")</f>
        <v/>
      </c>
      <c r="P188" s="34" t="str">
        <f aca="false">IF(N188="","",ROUND(IF(Settings!$B$27,MIN($M188,Settings!$B$29),$M188)*N188,0))</f>
        <v/>
      </c>
      <c r="Q188" s="34" t="str">
        <f aca="false">IF(N188="","",ROUND(IF(Settings!$B$27,MIN($M188,Settings!$B$30),$M188)*O188,0))</f>
        <v/>
      </c>
      <c r="R188" s="34" t="str">
        <f aca="false">IF(N188="","",P188+Q188)</f>
        <v/>
      </c>
      <c r="S188" s="34" t="str">
        <f aca="false">IF(N188="","",ROUND(MIN($M188,Settings!$B$29)*N188,0)+ROUND(MIN($M188,Settings!$B$30)*O188,0))</f>
        <v/>
      </c>
      <c r="T188" s="34" t="str">
        <f aca="false">IF(N188="","",IF(UPPER(L188)="N",0,S188))</f>
        <v/>
      </c>
      <c r="U188" s="25" t="str">
        <f aca="false">IF(N188="","",ROUND(R188*Settings!$B$18,0))</f>
        <v/>
      </c>
      <c r="V188" s="25" t="str">
        <f aca="false">IF(N188="","",ROUND(R188*Settings!$B$19,0)-X188)</f>
        <v/>
      </c>
      <c r="W188" s="25" t="str">
        <f aca="false">IF(N188="","",IF(Settings!$B$31,ROUND(R188*Settings!$B$22,0),0))</f>
        <v/>
      </c>
      <c r="X188" s="25" t="str">
        <f aca="false">IF(N188="","",MIN(ROUND(T188*Settings!$B$20,0),ROUND(R188*Settings!$B$19,0)))</f>
        <v/>
      </c>
      <c r="Y188" s="25" t="str">
        <f aca="false">IF(N188="","",IF(Settings!$B$31,ROUND(S188*Settings!$B$21,0),0))</f>
        <v/>
      </c>
      <c r="Z188" s="25" t="str">
        <f aca="false">IF(N188="","",U188+V188+X188+W188+Y188)</f>
        <v/>
      </c>
      <c r="AA188" s="7" t="str">
        <f aca="false">IF(COUNT(C188:H188)=0,"",TRIM(IF(UPPER(K188)="N","Not a PF member, skipped. ","")&amp;IF(AND(UPPER(K188)&lt;&gt;"N",N(M188)&lt;=0),"PF wage is zero, skipped. ","")&amp;IF(AND(UPPER(K188)&lt;&gt;"N",N(M188)&gt;0,UPPER(L188)="N"),"Pension not applicable, whole 12% goes to EPF. ","")&amp;IF(AND(ISNUMBER(H188),ABS(SUM(C188:G188)-N(H188))&gt;1),"Heads in the file add up to "&amp;SUM(C188:G188)&amp;", Gross is "&amp;H188&amp;" (a pay head may be missing). ","")&amp;IF(AND(Settings!$B$32,N(H188)&gt;0,ISNUMBER(M188),N(M188)&lt;H188*0.5-0.5),"50% check: PF wage is "&amp;TEXT(M188/H188,"0%")&amp;" of gross. ","")&amp;IF(AND(N(M188)&gt;0,UPPER(K188)&lt;&gt;"N",N(N188)+N(O188)=0),"No days to count. ","")))</f>
        <v/>
      </c>
    </row>
    <row r="189" customFormat="false" ht="15" hidden="false" customHeight="false" outlineLevel="0" collapsed="false">
      <c r="A189" s="14"/>
      <c r="B189" s="14"/>
      <c r="C189" s="17"/>
      <c r="D189" s="17"/>
      <c r="E189" s="17"/>
      <c r="F189" s="17"/>
      <c r="G189" s="17"/>
      <c r="H189" s="17"/>
      <c r="I189" s="14"/>
      <c r="J189" s="14"/>
      <c r="K189" s="14"/>
      <c r="L189" s="14"/>
      <c r="M189" s="34" t="str">
        <f aca="false">IF(COUNT(C189:H189)=0,"",IFERROR(MAX(0,ROUND(IF(Settings!$B$33,IF(H189="",SUM(C189:G189),H189)-SUMPRODUCT(($C$4:$G$4="Y")*C189:G189),SUMPRODUCT(($C$4:$G$4="Y")*C189:G189)),0)),"Check inputs"))</f>
        <v/>
      </c>
      <c r="N189" s="35" t="str">
        <f aca="false">IF(AND(N($M189)&gt;0,UPPER($K189)&lt;&gt;"N"),IF(Settings!$B$28,MAX(0,MIN(Settings!$B$16,IF(I189="",Settings!$B$16,I189)))/Settings!$B$15,1),"")</f>
        <v/>
      </c>
      <c r="O189" s="35" t="str">
        <f aca="false">IF(AND(N($M189)&gt;0,UPPER($K189)&lt;&gt;"N"),IF(Settings!$B$28,MAX(0,MIN(Settings!$B$17,IF(J189="",Settings!$B$17,J189)))/Settings!$B$15,0),"")</f>
        <v/>
      </c>
      <c r="P189" s="34" t="str">
        <f aca="false">IF(N189="","",ROUND(IF(Settings!$B$27,MIN($M189,Settings!$B$29),$M189)*N189,0))</f>
        <v/>
      </c>
      <c r="Q189" s="34" t="str">
        <f aca="false">IF(N189="","",ROUND(IF(Settings!$B$27,MIN($M189,Settings!$B$30),$M189)*O189,0))</f>
        <v/>
      </c>
      <c r="R189" s="34" t="str">
        <f aca="false">IF(N189="","",P189+Q189)</f>
        <v/>
      </c>
      <c r="S189" s="34" t="str">
        <f aca="false">IF(N189="","",ROUND(MIN($M189,Settings!$B$29)*N189,0)+ROUND(MIN($M189,Settings!$B$30)*O189,0))</f>
        <v/>
      </c>
      <c r="T189" s="34" t="str">
        <f aca="false">IF(N189="","",IF(UPPER(L189)="N",0,S189))</f>
        <v/>
      </c>
      <c r="U189" s="25" t="str">
        <f aca="false">IF(N189="","",ROUND(R189*Settings!$B$18,0))</f>
        <v/>
      </c>
      <c r="V189" s="25" t="str">
        <f aca="false">IF(N189="","",ROUND(R189*Settings!$B$19,0)-X189)</f>
        <v/>
      </c>
      <c r="W189" s="25" t="str">
        <f aca="false">IF(N189="","",IF(Settings!$B$31,ROUND(R189*Settings!$B$22,0),0))</f>
        <v/>
      </c>
      <c r="X189" s="25" t="str">
        <f aca="false">IF(N189="","",MIN(ROUND(T189*Settings!$B$20,0),ROUND(R189*Settings!$B$19,0)))</f>
        <v/>
      </c>
      <c r="Y189" s="25" t="str">
        <f aca="false">IF(N189="","",IF(Settings!$B$31,ROUND(S189*Settings!$B$21,0),0))</f>
        <v/>
      </c>
      <c r="Z189" s="25" t="str">
        <f aca="false">IF(N189="","",U189+V189+X189+W189+Y189)</f>
        <v/>
      </c>
      <c r="AA189" s="7" t="str">
        <f aca="false">IF(COUNT(C189:H189)=0,"",TRIM(IF(UPPER(K189)="N","Not a PF member, skipped. ","")&amp;IF(AND(UPPER(K189)&lt;&gt;"N",N(M189)&lt;=0),"PF wage is zero, skipped. ","")&amp;IF(AND(UPPER(K189)&lt;&gt;"N",N(M189)&gt;0,UPPER(L189)="N"),"Pension not applicable, whole 12% goes to EPF. ","")&amp;IF(AND(ISNUMBER(H189),ABS(SUM(C189:G189)-N(H189))&gt;1),"Heads in the file add up to "&amp;SUM(C189:G189)&amp;", Gross is "&amp;H189&amp;" (a pay head may be missing). ","")&amp;IF(AND(Settings!$B$32,N(H189)&gt;0,ISNUMBER(M189),N(M189)&lt;H189*0.5-0.5),"50% check: PF wage is "&amp;TEXT(M189/H189,"0%")&amp;" of gross. ","")&amp;IF(AND(N(M189)&gt;0,UPPER(K189)&lt;&gt;"N",N(N189)+N(O189)=0),"No days to count. ","")))</f>
        <v/>
      </c>
    </row>
    <row r="190" customFormat="false" ht="15" hidden="false" customHeight="false" outlineLevel="0" collapsed="false">
      <c r="A190" s="14"/>
      <c r="B190" s="14"/>
      <c r="C190" s="17"/>
      <c r="D190" s="17"/>
      <c r="E190" s="17"/>
      <c r="F190" s="17"/>
      <c r="G190" s="17"/>
      <c r="H190" s="17"/>
      <c r="I190" s="14"/>
      <c r="J190" s="14"/>
      <c r="K190" s="14"/>
      <c r="L190" s="14"/>
      <c r="M190" s="34" t="str">
        <f aca="false">IF(COUNT(C190:H190)=0,"",IFERROR(MAX(0,ROUND(IF(Settings!$B$33,IF(H190="",SUM(C190:G190),H190)-SUMPRODUCT(($C$4:$G$4="Y")*C190:G190),SUMPRODUCT(($C$4:$G$4="Y")*C190:G190)),0)),"Check inputs"))</f>
        <v/>
      </c>
      <c r="N190" s="35" t="str">
        <f aca="false">IF(AND(N($M190)&gt;0,UPPER($K190)&lt;&gt;"N"),IF(Settings!$B$28,MAX(0,MIN(Settings!$B$16,IF(I190="",Settings!$B$16,I190)))/Settings!$B$15,1),"")</f>
        <v/>
      </c>
      <c r="O190" s="35" t="str">
        <f aca="false">IF(AND(N($M190)&gt;0,UPPER($K190)&lt;&gt;"N"),IF(Settings!$B$28,MAX(0,MIN(Settings!$B$17,IF(J190="",Settings!$B$17,J190)))/Settings!$B$15,0),"")</f>
        <v/>
      </c>
      <c r="P190" s="34" t="str">
        <f aca="false">IF(N190="","",ROUND(IF(Settings!$B$27,MIN($M190,Settings!$B$29),$M190)*N190,0))</f>
        <v/>
      </c>
      <c r="Q190" s="34" t="str">
        <f aca="false">IF(N190="","",ROUND(IF(Settings!$B$27,MIN($M190,Settings!$B$30),$M190)*O190,0))</f>
        <v/>
      </c>
      <c r="R190" s="34" t="str">
        <f aca="false">IF(N190="","",P190+Q190)</f>
        <v/>
      </c>
      <c r="S190" s="34" t="str">
        <f aca="false">IF(N190="","",ROUND(MIN($M190,Settings!$B$29)*N190,0)+ROUND(MIN($M190,Settings!$B$30)*O190,0))</f>
        <v/>
      </c>
      <c r="T190" s="34" t="str">
        <f aca="false">IF(N190="","",IF(UPPER(L190)="N",0,S190))</f>
        <v/>
      </c>
      <c r="U190" s="25" t="str">
        <f aca="false">IF(N190="","",ROUND(R190*Settings!$B$18,0))</f>
        <v/>
      </c>
      <c r="V190" s="25" t="str">
        <f aca="false">IF(N190="","",ROUND(R190*Settings!$B$19,0)-X190)</f>
        <v/>
      </c>
      <c r="W190" s="25" t="str">
        <f aca="false">IF(N190="","",IF(Settings!$B$31,ROUND(R190*Settings!$B$22,0),0))</f>
        <v/>
      </c>
      <c r="X190" s="25" t="str">
        <f aca="false">IF(N190="","",MIN(ROUND(T190*Settings!$B$20,0),ROUND(R190*Settings!$B$19,0)))</f>
        <v/>
      </c>
      <c r="Y190" s="25" t="str">
        <f aca="false">IF(N190="","",IF(Settings!$B$31,ROUND(S190*Settings!$B$21,0),0))</f>
        <v/>
      </c>
      <c r="Z190" s="25" t="str">
        <f aca="false">IF(N190="","",U190+V190+X190+W190+Y190)</f>
        <v/>
      </c>
      <c r="AA190" s="7" t="str">
        <f aca="false">IF(COUNT(C190:H190)=0,"",TRIM(IF(UPPER(K190)="N","Not a PF member, skipped. ","")&amp;IF(AND(UPPER(K190)&lt;&gt;"N",N(M190)&lt;=0),"PF wage is zero, skipped. ","")&amp;IF(AND(UPPER(K190)&lt;&gt;"N",N(M190)&gt;0,UPPER(L190)="N"),"Pension not applicable, whole 12% goes to EPF. ","")&amp;IF(AND(ISNUMBER(H190),ABS(SUM(C190:G190)-N(H190))&gt;1),"Heads in the file add up to "&amp;SUM(C190:G190)&amp;", Gross is "&amp;H190&amp;" (a pay head may be missing). ","")&amp;IF(AND(Settings!$B$32,N(H190)&gt;0,ISNUMBER(M190),N(M190)&lt;H190*0.5-0.5),"50% check: PF wage is "&amp;TEXT(M190/H190,"0%")&amp;" of gross. ","")&amp;IF(AND(N(M190)&gt;0,UPPER(K190)&lt;&gt;"N",N(N190)+N(O190)=0),"No days to count. ","")))</f>
        <v/>
      </c>
    </row>
    <row r="191" customFormat="false" ht="15" hidden="false" customHeight="false" outlineLevel="0" collapsed="false">
      <c r="A191" s="14"/>
      <c r="B191" s="14"/>
      <c r="C191" s="17"/>
      <c r="D191" s="17"/>
      <c r="E191" s="17"/>
      <c r="F191" s="17"/>
      <c r="G191" s="17"/>
      <c r="H191" s="17"/>
      <c r="I191" s="14"/>
      <c r="J191" s="14"/>
      <c r="K191" s="14"/>
      <c r="L191" s="14"/>
      <c r="M191" s="34" t="str">
        <f aca="false">IF(COUNT(C191:H191)=0,"",IFERROR(MAX(0,ROUND(IF(Settings!$B$33,IF(H191="",SUM(C191:G191),H191)-SUMPRODUCT(($C$4:$G$4="Y")*C191:G191),SUMPRODUCT(($C$4:$G$4="Y")*C191:G191)),0)),"Check inputs"))</f>
        <v/>
      </c>
      <c r="N191" s="35" t="str">
        <f aca="false">IF(AND(N($M191)&gt;0,UPPER($K191)&lt;&gt;"N"),IF(Settings!$B$28,MAX(0,MIN(Settings!$B$16,IF(I191="",Settings!$B$16,I191)))/Settings!$B$15,1),"")</f>
        <v/>
      </c>
      <c r="O191" s="35" t="str">
        <f aca="false">IF(AND(N($M191)&gt;0,UPPER($K191)&lt;&gt;"N"),IF(Settings!$B$28,MAX(0,MIN(Settings!$B$17,IF(J191="",Settings!$B$17,J191)))/Settings!$B$15,0),"")</f>
        <v/>
      </c>
      <c r="P191" s="34" t="str">
        <f aca="false">IF(N191="","",ROUND(IF(Settings!$B$27,MIN($M191,Settings!$B$29),$M191)*N191,0))</f>
        <v/>
      </c>
      <c r="Q191" s="34" t="str">
        <f aca="false">IF(N191="","",ROUND(IF(Settings!$B$27,MIN($M191,Settings!$B$30),$M191)*O191,0))</f>
        <v/>
      </c>
      <c r="R191" s="34" t="str">
        <f aca="false">IF(N191="","",P191+Q191)</f>
        <v/>
      </c>
      <c r="S191" s="34" t="str">
        <f aca="false">IF(N191="","",ROUND(MIN($M191,Settings!$B$29)*N191,0)+ROUND(MIN($M191,Settings!$B$30)*O191,0))</f>
        <v/>
      </c>
      <c r="T191" s="34" t="str">
        <f aca="false">IF(N191="","",IF(UPPER(L191)="N",0,S191))</f>
        <v/>
      </c>
      <c r="U191" s="25" t="str">
        <f aca="false">IF(N191="","",ROUND(R191*Settings!$B$18,0))</f>
        <v/>
      </c>
      <c r="V191" s="25" t="str">
        <f aca="false">IF(N191="","",ROUND(R191*Settings!$B$19,0)-X191)</f>
        <v/>
      </c>
      <c r="W191" s="25" t="str">
        <f aca="false">IF(N191="","",IF(Settings!$B$31,ROUND(R191*Settings!$B$22,0),0))</f>
        <v/>
      </c>
      <c r="X191" s="25" t="str">
        <f aca="false">IF(N191="","",MIN(ROUND(T191*Settings!$B$20,0),ROUND(R191*Settings!$B$19,0)))</f>
        <v/>
      </c>
      <c r="Y191" s="25" t="str">
        <f aca="false">IF(N191="","",IF(Settings!$B$31,ROUND(S191*Settings!$B$21,0),0))</f>
        <v/>
      </c>
      <c r="Z191" s="25" t="str">
        <f aca="false">IF(N191="","",U191+V191+X191+W191+Y191)</f>
        <v/>
      </c>
      <c r="AA191" s="7" t="str">
        <f aca="false">IF(COUNT(C191:H191)=0,"",TRIM(IF(UPPER(K191)="N","Not a PF member, skipped. ","")&amp;IF(AND(UPPER(K191)&lt;&gt;"N",N(M191)&lt;=0),"PF wage is zero, skipped. ","")&amp;IF(AND(UPPER(K191)&lt;&gt;"N",N(M191)&gt;0,UPPER(L191)="N"),"Pension not applicable, whole 12% goes to EPF. ","")&amp;IF(AND(ISNUMBER(H191),ABS(SUM(C191:G191)-N(H191))&gt;1),"Heads in the file add up to "&amp;SUM(C191:G191)&amp;", Gross is "&amp;H191&amp;" (a pay head may be missing). ","")&amp;IF(AND(Settings!$B$32,N(H191)&gt;0,ISNUMBER(M191),N(M191)&lt;H191*0.5-0.5),"50% check: PF wage is "&amp;TEXT(M191/H191,"0%")&amp;" of gross. ","")&amp;IF(AND(N(M191)&gt;0,UPPER(K191)&lt;&gt;"N",N(N191)+N(O191)=0),"No days to count. ","")))</f>
        <v/>
      </c>
    </row>
    <row r="192" customFormat="false" ht="15" hidden="false" customHeight="false" outlineLevel="0" collapsed="false">
      <c r="A192" s="14"/>
      <c r="B192" s="14"/>
      <c r="C192" s="17"/>
      <c r="D192" s="17"/>
      <c r="E192" s="17"/>
      <c r="F192" s="17"/>
      <c r="G192" s="17"/>
      <c r="H192" s="17"/>
      <c r="I192" s="14"/>
      <c r="J192" s="14"/>
      <c r="K192" s="14"/>
      <c r="L192" s="14"/>
      <c r="M192" s="34" t="str">
        <f aca="false">IF(COUNT(C192:H192)=0,"",IFERROR(MAX(0,ROUND(IF(Settings!$B$33,IF(H192="",SUM(C192:G192),H192)-SUMPRODUCT(($C$4:$G$4="Y")*C192:G192),SUMPRODUCT(($C$4:$G$4="Y")*C192:G192)),0)),"Check inputs"))</f>
        <v/>
      </c>
      <c r="N192" s="35" t="str">
        <f aca="false">IF(AND(N($M192)&gt;0,UPPER($K192)&lt;&gt;"N"),IF(Settings!$B$28,MAX(0,MIN(Settings!$B$16,IF(I192="",Settings!$B$16,I192)))/Settings!$B$15,1),"")</f>
        <v/>
      </c>
      <c r="O192" s="35" t="str">
        <f aca="false">IF(AND(N($M192)&gt;0,UPPER($K192)&lt;&gt;"N"),IF(Settings!$B$28,MAX(0,MIN(Settings!$B$17,IF(J192="",Settings!$B$17,J192)))/Settings!$B$15,0),"")</f>
        <v/>
      </c>
      <c r="P192" s="34" t="str">
        <f aca="false">IF(N192="","",ROUND(IF(Settings!$B$27,MIN($M192,Settings!$B$29),$M192)*N192,0))</f>
        <v/>
      </c>
      <c r="Q192" s="34" t="str">
        <f aca="false">IF(N192="","",ROUND(IF(Settings!$B$27,MIN($M192,Settings!$B$30),$M192)*O192,0))</f>
        <v/>
      </c>
      <c r="R192" s="34" t="str">
        <f aca="false">IF(N192="","",P192+Q192)</f>
        <v/>
      </c>
      <c r="S192" s="34" t="str">
        <f aca="false">IF(N192="","",ROUND(MIN($M192,Settings!$B$29)*N192,0)+ROUND(MIN($M192,Settings!$B$30)*O192,0))</f>
        <v/>
      </c>
      <c r="T192" s="34" t="str">
        <f aca="false">IF(N192="","",IF(UPPER(L192)="N",0,S192))</f>
        <v/>
      </c>
      <c r="U192" s="25" t="str">
        <f aca="false">IF(N192="","",ROUND(R192*Settings!$B$18,0))</f>
        <v/>
      </c>
      <c r="V192" s="25" t="str">
        <f aca="false">IF(N192="","",ROUND(R192*Settings!$B$19,0)-X192)</f>
        <v/>
      </c>
      <c r="W192" s="25" t="str">
        <f aca="false">IF(N192="","",IF(Settings!$B$31,ROUND(R192*Settings!$B$22,0),0))</f>
        <v/>
      </c>
      <c r="X192" s="25" t="str">
        <f aca="false">IF(N192="","",MIN(ROUND(T192*Settings!$B$20,0),ROUND(R192*Settings!$B$19,0)))</f>
        <v/>
      </c>
      <c r="Y192" s="25" t="str">
        <f aca="false">IF(N192="","",IF(Settings!$B$31,ROUND(S192*Settings!$B$21,0),0))</f>
        <v/>
      </c>
      <c r="Z192" s="25" t="str">
        <f aca="false">IF(N192="","",U192+V192+X192+W192+Y192)</f>
        <v/>
      </c>
      <c r="AA192" s="7" t="str">
        <f aca="false">IF(COUNT(C192:H192)=0,"",TRIM(IF(UPPER(K192)="N","Not a PF member, skipped. ","")&amp;IF(AND(UPPER(K192)&lt;&gt;"N",N(M192)&lt;=0),"PF wage is zero, skipped. ","")&amp;IF(AND(UPPER(K192)&lt;&gt;"N",N(M192)&gt;0,UPPER(L192)="N"),"Pension not applicable, whole 12% goes to EPF. ","")&amp;IF(AND(ISNUMBER(H192),ABS(SUM(C192:G192)-N(H192))&gt;1),"Heads in the file add up to "&amp;SUM(C192:G192)&amp;", Gross is "&amp;H192&amp;" (a pay head may be missing). ","")&amp;IF(AND(Settings!$B$32,N(H192)&gt;0,ISNUMBER(M192),N(M192)&lt;H192*0.5-0.5),"50% check: PF wage is "&amp;TEXT(M192/H192,"0%")&amp;" of gross. ","")&amp;IF(AND(N(M192)&gt;0,UPPER(K192)&lt;&gt;"N",N(N192)+N(O192)=0),"No days to count. ","")))</f>
        <v/>
      </c>
    </row>
    <row r="193" customFormat="false" ht="15" hidden="false" customHeight="false" outlineLevel="0" collapsed="false">
      <c r="A193" s="14"/>
      <c r="B193" s="14"/>
      <c r="C193" s="17"/>
      <c r="D193" s="17"/>
      <c r="E193" s="17"/>
      <c r="F193" s="17"/>
      <c r="G193" s="17"/>
      <c r="H193" s="17"/>
      <c r="I193" s="14"/>
      <c r="J193" s="14"/>
      <c r="K193" s="14"/>
      <c r="L193" s="14"/>
      <c r="M193" s="34" t="str">
        <f aca="false">IF(COUNT(C193:H193)=0,"",IFERROR(MAX(0,ROUND(IF(Settings!$B$33,IF(H193="",SUM(C193:G193),H193)-SUMPRODUCT(($C$4:$G$4="Y")*C193:G193),SUMPRODUCT(($C$4:$G$4="Y")*C193:G193)),0)),"Check inputs"))</f>
        <v/>
      </c>
      <c r="N193" s="35" t="str">
        <f aca="false">IF(AND(N($M193)&gt;0,UPPER($K193)&lt;&gt;"N"),IF(Settings!$B$28,MAX(0,MIN(Settings!$B$16,IF(I193="",Settings!$B$16,I193)))/Settings!$B$15,1),"")</f>
        <v/>
      </c>
      <c r="O193" s="35" t="str">
        <f aca="false">IF(AND(N($M193)&gt;0,UPPER($K193)&lt;&gt;"N"),IF(Settings!$B$28,MAX(0,MIN(Settings!$B$17,IF(J193="",Settings!$B$17,J193)))/Settings!$B$15,0),"")</f>
        <v/>
      </c>
      <c r="P193" s="34" t="str">
        <f aca="false">IF(N193="","",ROUND(IF(Settings!$B$27,MIN($M193,Settings!$B$29),$M193)*N193,0))</f>
        <v/>
      </c>
      <c r="Q193" s="34" t="str">
        <f aca="false">IF(N193="","",ROUND(IF(Settings!$B$27,MIN($M193,Settings!$B$30),$M193)*O193,0))</f>
        <v/>
      </c>
      <c r="R193" s="34" t="str">
        <f aca="false">IF(N193="","",P193+Q193)</f>
        <v/>
      </c>
      <c r="S193" s="34" t="str">
        <f aca="false">IF(N193="","",ROUND(MIN($M193,Settings!$B$29)*N193,0)+ROUND(MIN($M193,Settings!$B$30)*O193,0))</f>
        <v/>
      </c>
      <c r="T193" s="34" t="str">
        <f aca="false">IF(N193="","",IF(UPPER(L193)="N",0,S193))</f>
        <v/>
      </c>
      <c r="U193" s="25" t="str">
        <f aca="false">IF(N193="","",ROUND(R193*Settings!$B$18,0))</f>
        <v/>
      </c>
      <c r="V193" s="25" t="str">
        <f aca="false">IF(N193="","",ROUND(R193*Settings!$B$19,0)-X193)</f>
        <v/>
      </c>
      <c r="W193" s="25" t="str">
        <f aca="false">IF(N193="","",IF(Settings!$B$31,ROUND(R193*Settings!$B$22,0),0))</f>
        <v/>
      </c>
      <c r="X193" s="25" t="str">
        <f aca="false">IF(N193="","",MIN(ROUND(T193*Settings!$B$20,0),ROUND(R193*Settings!$B$19,0)))</f>
        <v/>
      </c>
      <c r="Y193" s="25" t="str">
        <f aca="false">IF(N193="","",IF(Settings!$B$31,ROUND(S193*Settings!$B$21,0),0))</f>
        <v/>
      </c>
      <c r="Z193" s="25" t="str">
        <f aca="false">IF(N193="","",U193+V193+X193+W193+Y193)</f>
        <v/>
      </c>
      <c r="AA193" s="7" t="str">
        <f aca="false">IF(COUNT(C193:H193)=0,"",TRIM(IF(UPPER(K193)="N","Not a PF member, skipped. ","")&amp;IF(AND(UPPER(K193)&lt;&gt;"N",N(M193)&lt;=0),"PF wage is zero, skipped. ","")&amp;IF(AND(UPPER(K193)&lt;&gt;"N",N(M193)&gt;0,UPPER(L193)="N"),"Pension not applicable, whole 12% goes to EPF. ","")&amp;IF(AND(ISNUMBER(H193),ABS(SUM(C193:G193)-N(H193))&gt;1),"Heads in the file add up to "&amp;SUM(C193:G193)&amp;", Gross is "&amp;H193&amp;" (a pay head may be missing). ","")&amp;IF(AND(Settings!$B$32,N(H193)&gt;0,ISNUMBER(M193),N(M193)&lt;H193*0.5-0.5),"50% check: PF wage is "&amp;TEXT(M193/H193,"0%")&amp;" of gross. ","")&amp;IF(AND(N(M193)&gt;0,UPPER(K193)&lt;&gt;"N",N(N193)+N(O193)=0),"No days to count. ","")))</f>
        <v/>
      </c>
    </row>
    <row r="194" customFormat="false" ht="15" hidden="false" customHeight="false" outlineLevel="0" collapsed="false">
      <c r="A194" s="14"/>
      <c r="B194" s="14"/>
      <c r="C194" s="17"/>
      <c r="D194" s="17"/>
      <c r="E194" s="17"/>
      <c r="F194" s="17"/>
      <c r="G194" s="17"/>
      <c r="H194" s="17"/>
      <c r="I194" s="14"/>
      <c r="J194" s="14"/>
      <c r="K194" s="14"/>
      <c r="L194" s="14"/>
      <c r="M194" s="34" t="str">
        <f aca="false">IF(COUNT(C194:H194)=0,"",IFERROR(MAX(0,ROUND(IF(Settings!$B$33,IF(H194="",SUM(C194:G194),H194)-SUMPRODUCT(($C$4:$G$4="Y")*C194:G194),SUMPRODUCT(($C$4:$G$4="Y")*C194:G194)),0)),"Check inputs"))</f>
        <v/>
      </c>
      <c r="N194" s="35" t="str">
        <f aca="false">IF(AND(N($M194)&gt;0,UPPER($K194)&lt;&gt;"N"),IF(Settings!$B$28,MAX(0,MIN(Settings!$B$16,IF(I194="",Settings!$B$16,I194)))/Settings!$B$15,1),"")</f>
        <v/>
      </c>
      <c r="O194" s="35" t="str">
        <f aca="false">IF(AND(N($M194)&gt;0,UPPER($K194)&lt;&gt;"N"),IF(Settings!$B$28,MAX(0,MIN(Settings!$B$17,IF(J194="",Settings!$B$17,J194)))/Settings!$B$15,0),"")</f>
        <v/>
      </c>
      <c r="P194" s="34" t="str">
        <f aca="false">IF(N194="","",ROUND(IF(Settings!$B$27,MIN($M194,Settings!$B$29),$M194)*N194,0))</f>
        <v/>
      </c>
      <c r="Q194" s="34" t="str">
        <f aca="false">IF(N194="","",ROUND(IF(Settings!$B$27,MIN($M194,Settings!$B$30),$M194)*O194,0))</f>
        <v/>
      </c>
      <c r="R194" s="34" t="str">
        <f aca="false">IF(N194="","",P194+Q194)</f>
        <v/>
      </c>
      <c r="S194" s="34" t="str">
        <f aca="false">IF(N194="","",ROUND(MIN($M194,Settings!$B$29)*N194,0)+ROUND(MIN($M194,Settings!$B$30)*O194,0))</f>
        <v/>
      </c>
      <c r="T194" s="34" t="str">
        <f aca="false">IF(N194="","",IF(UPPER(L194)="N",0,S194))</f>
        <v/>
      </c>
      <c r="U194" s="25" t="str">
        <f aca="false">IF(N194="","",ROUND(R194*Settings!$B$18,0))</f>
        <v/>
      </c>
      <c r="V194" s="25" t="str">
        <f aca="false">IF(N194="","",ROUND(R194*Settings!$B$19,0)-X194)</f>
        <v/>
      </c>
      <c r="W194" s="25" t="str">
        <f aca="false">IF(N194="","",IF(Settings!$B$31,ROUND(R194*Settings!$B$22,0),0))</f>
        <v/>
      </c>
      <c r="X194" s="25" t="str">
        <f aca="false">IF(N194="","",MIN(ROUND(T194*Settings!$B$20,0),ROUND(R194*Settings!$B$19,0)))</f>
        <v/>
      </c>
      <c r="Y194" s="25" t="str">
        <f aca="false">IF(N194="","",IF(Settings!$B$31,ROUND(S194*Settings!$B$21,0),0))</f>
        <v/>
      </c>
      <c r="Z194" s="25" t="str">
        <f aca="false">IF(N194="","",U194+V194+X194+W194+Y194)</f>
        <v/>
      </c>
      <c r="AA194" s="7" t="str">
        <f aca="false">IF(COUNT(C194:H194)=0,"",TRIM(IF(UPPER(K194)="N","Not a PF member, skipped. ","")&amp;IF(AND(UPPER(K194)&lt;&gt;"N",N(M194)&lt;=0),"PF wage is zero, skipped. ","")&amp;IF(AND(UPPER(K194)&lt;&gt;"N",N(M194)&gt;0,UPPER(L194)="N"),"Pension not applicable, whole 12% goes to EPF. ","")&amp;IF(AND(ISNUMBER(H194),ABS(SUM(C194:G194)-N(H194))&gt;1),"Heads in the file add up to "&amp;SUM(C194:G194)&amp;", Gross is "&amp;H194&amp;" (a pay head may be missing). ","")&amp;IF(AND(Settings!$B$32,N(H194)&gt;0,ISNUMBER(M194),N(M194)&lt;H194*0.5-0.5),"50% check: PF wage is "&amp;TEXT(M194/H194,"0%")&amp;" of gross. ","")&amp;IF(AND(N(M194)&gt;0,UPPER(K194)&lt;&gt;"N",N(N194)+N(O194)=0),"No days to count. ","")))</f>
        <v/>
      </c>
    </row>
    <row r="195" customFormat="false" ht="15" hidden="false" customHeight="false" outlineLevel="0" collapsed="false">
      <c r="A195" s="14"/>
      <c r="B195" s="14"/>
      <c r="C195" s="17"/>
      <c r="D195" s="17"/>
      <c r="E195" s="17"/>
      <c r="F195" s="17"/>
      <c r="G195" s="17"/>
      <c r="H195" s="17"/>
      <c r="I195" s="14"/>
      <c r="J195" s="14"/>
      <c r="K195" s="14"/>
      <c r="L195" s="14"/>
      <c r="M195" s="34" t="str">
        <f aca="false">IF(COUNT(C195:H195)=0,"",IFERROR(MAX(0,ROUND(IF(Settings!$B$33,IF(H195="",SUM(C195:G195),H195)-SUMPRODUCT(($C$4:$G$4="Y")*C195:G195),SUMPRODUCT(($C$4:$G$4="Y")*C195:G195)),0)),"Check inputs"))</f>
        <v/>
      </c>
      <c r="N195" s="35" t="str">
        <f aca="false">IF(AND(N($M195)&gt;0,UPPER($K195)&lt;&gt;"N"),IF(Settings!$B$28,MAX(0,MIN(Settings!$B$16,IF(I195="",Settings!$B$16,I195)))/Settings!$B$15,1),"")</f>
        <v/>
      </c>
      <c r="O195" s="35" t="str">
        <f aca="false">IF(AND(N($M195)&gt;0,UPPER($K195)&lt;&gt;"N"),IF(Settings!$B$28,MAX(0,MIN(Settings!$B$17,IF(J195="",Settings!$B$17,J195)))/Settings!$B$15,0),"")</f>
        <v/>
      </c>
      <c r="P195" s="34" t="str">
        <f aca="false">IF(N195="","",ROUND(IF(Settings!$B$27,MIN($M195,Settings!$B$29),$M195)*N195,0))</f>
        <v/>
      </c>
      <c r="Q195" s="34" t="str">
        <f aca="false">IF(N195="","",ROUND(IF(Settings!$B$27,MIN($M195,Settings!$B$30),$M195)*O195,0))</f>
        <v/>
      </c>
      <c r="R195" s="34" t="str">
        <f aca="false">IF(N195="","",P195+Q195)</f>
        <v/>
      </c>
      <c r="S195" s="34" t="str">
        <f aca="false">IF(N195="","",ROUND(MIN($M195,Settings!$B$29)*N195,0)+ROUND(MIN($M195,Settings!$B$30)*O195,0))</f>
        <v/>
      </c>
      <c r="T195" s="34" t="str">
        <f aca="false">IF(N195="","",IF(UPPER(L195)="N",0,S195))</f>
        <v/>
      </c>
      <c r="U195" s="25" t="str">
        <f aca="false">IF(N195="","",ROUND(R195*Settings!$B$18,0))</f>
        <v/>
      </c>
      <c r="V195" s="25" t="str">
        <f aca="false">IF(N195="","",ROUND(R195*Settings!$B$19,0)-X195)</f>
        <v/>
      </c>
      <c r="W195" s="25" t="str">
        <f aca="false">IF(N195="","",IF(Settings!$B$31,ROUND(R195*Settings!$B$22,0),0))</f>
        <v/>
      </c>
      <c r="X195" s="25" t="str">
        <f aca="false">IF(N195="","",MIN(ROUND(T195*Settings!$B$20,0),ROUND(R195*Settings!$B$19,0)))</f>
        <v/>
      </c>
      <c r="Y195" s="25" t="str">
        <f aca="false">IF(N195="","",IF(Settings!$B$31,ROUND(S195*Settings!$B$21,0),0))</f>
        <v/>
      </c>
      <c r="Z195" s="25" t="str">
        <f aca="false">IF(N195="","",U195+V195+X195+W195+Y195)</f>
        <v/>
      </c>
      <c r="AA195" s="7" t="str">
        <f aca="false">IF(COUNT(C195:H195)=0,"",TRIM(IF(UPPER(K195)="N","Not a PF member, skipped. ","")&amp;IF(AND(UPPER(K195)&lt;&gt;"N",N(M195)&lt;=0),"PF wage is zero, skipped. ","")&amp;IF(AND(UPPER(K195)&lt;&gt;"N",N(M195)&gt;0,UPPER(L195)="N"),"Pension not applicable, whole 12% goes to EPF. ","")&amp;IF(AND(ISNUMBER(H195),ABS(SUM(C195:G195)-N(H195))&gt;1),"Heads in the file add up to "&amp;SUM(C195:G195)&amp;", Gross is "&amp;H195&amp;" (a pay head may be missing). ","")&amp;IF(AND(Settings!$B$32,N(H195)&gt;0,ISNUMBER(M195),N(M195)&lt;H195*0.5-0.5),"50% check: PF wage is "&amp;TEXT(M195/H195,"0%")&amp;" of gross. ","")&amp;IF(AND(N(M195)&gt;0,UPPER(K195)&lt;&gt;"N",N(N195)+N(O195)=0),"No days to count. ","")))</f>
        <v/>
      </c>
    </row>
    <row r="196" customFormat="false" ht="15" hidden="false" customHeight="false" outlineLevel="0" collapsed="false">
      <c r="A196" s="14"/>
      <c r="B196" s="14"/>
      <c r="C196" s="17"/>
      <c r="D196" s="17"/>
      <c r="E196" s="17"/>
      <c r="F196" s="17"/>
      <c r="G196" s="17"/>
      <c r="H196" s="17"/>
      <c r="I196" s="14"/>
      <c r="J196" s="14"/>
      <c r="K196" s="14"/>
      <c r="L196" s="14"/>
      <c r="M196" s="34" t="str">
        <f aca="false">IF(COUNT(C196:H196)=0,"",IFERROR(MAX(0,ROUND(IF(Settings!$B$33,IF(H196="",SUM(C196:G196),H196)-SUMPRODUCT(($C$4:$G$4="Y")*C196:G196),SUMPRODUCT(($C$4:$G$4="Y")*C196:G196)),0)),"Check inputs"))</f>
        <v/>
      </c>
      <c r="N196" s="35" t="str">
        <f aca="false">IF(AND(N($M196)&gt;0,UPPER($K196)&lt;&gt;"N"),IF(Settings!$B$28,MAX(0,MIN(Settings!$B$16,IF(I196="",Settings!$B$16,I196)))/Settings!$B$15,1),"")</f>
        <v/>
      </c>
      <c r="O196" s="35" t="str">
        <f aca="false">IF(AND(N($M196)&gt;0,UPPER($K196)&lt;&gt;"N"),IF(Settings!$B$28,MAX(0,MIN(Settings!$B$17,IF(J196="",Settings!$B$17,J196)))/Settings!$B$15,0),"")</f>
        <v/>
      </c>
      <c r="P196" s="34" t="str">
        <f aca="false">IF(N196="","",ROUND(IF(Settings!$B$27,MIN($M196,Settings!$B$29),$M196)*N196,0))</f>
        <v/>
      </c>
      <c r="Q196" s="34" t="str">
        <f aca="false">IF(N196="","",ROUND(IF(Settings!$B$27,MIN($M196,Settings!$B$30),$M196)*O196,0))</f>
        <v/>
      </c>
      <c r="R196" s="34" t="str">
        <f aca="false">IF(N196="","",P196+Q196)</f>
        <v/>
      </c>
      <c r="S196" s="34" t="str">
        <f aca="false">IF(N196="","",ROUND(MIN($M196,Settings!$B$29)*N196,0)+ROUND(MIN($M196,Settings!$B$30)*O196,0))</f>
        <v/>
      </c>
      <c r="T196" s="34" t="str">
        <f aca="false">IF(N196="","",IF(UPPER(L196)="N",0,S196))</f>
        <v/>
      </c>
      <c r="U196" s="25" t="str">
        <f aca="false">IF(N196="","",ROUND(R196*Settings!$B$18,0))</f>
        <v/>
      </c>
      <c r="V196" s="25" t="str">
        <f aca="false">IF(N196="","",ROUND(R196*Settings!$B$19,0)-X196)</f>
        <v/>
      </c>
      <c r="W196" s="25" t="str">
        <f aca="false">IF(N196="","",IF(Settings!$B$31,ROUND(R196*Settings!$B$22,0),0))</f>
        <v/>
      </c>
      <c r="X196" s="25" t="str">
        <f aca="false">IF(N196="","",MIN(ROUND(T196*Settings!$B$20,0),ROUND(R196*Settings!$B$19,0)))</f>
        <v/>
      </c>
      <c r="Y196" s="25" t="str">
        <f aca="false">IF(N196="","",IF(Settings!$B$31,ROUND(S196*Settings!$B$21,0),0))</f>
        <v/>
      </c>
      <c r="Z196" s="25" t="str">
        <f aca="false">IF(N196="","",U196+V196+X196+W196+Y196)</f>
        <v/>
      </c>
      <c r="AA196" s="7" t="str">
        <f aca="false">IF(COUNT(C196:H196)=0,"",TRIM(IF(UPPER(K196)="N","Not a PF member, skipped. ","")&amp;IF(AND(UPPER(K196)&lt;&gt;"N",N(M196)&lt;=0),"PF wage is zero, skipped. ","")&amp;IF(AND(UPPER(K196)&lt;&gt;"N",N(M196)&gt;0,UPPER(L196)="N"),"Pension not applicable, whole 12% goes to EPF. ","")&amp;IF(AND(ISNUMBER(H196),ABS(SUM(C196:G196)-N(H196))&gt;1),"Heads in the file add up to "&amp;SUM(C196:G196)&amp;", Gross is "&amp;H196&amp;" (a pay head may be missing). ","")&amp;IF(AND(Settings!$B$32,N(H196)&gt;0,ISNUMBER(M196),N(M196)&lt;H196*0.5-0.5),"50% check: PF wage is "&amp;TEXT(M196/H196,"0%")&amp;" of gross. ","")&amp;IF(AND(N(M196)&gt;0,UPPER(K196)&lt;&gt;"N",N(N196)+N(O196)=0),"No days to count. ","")))</f>
        <v/>
      </c>
    </row>
    <row r="197" customFormat="false" ht="15" hidden="false" customHeight="false" outlineLevel="0" collapsed="false">
      <c r="A197" s="14"/>
      <c r="B197" s="14"/>
      <c r="C197" s="17"/>
      <c r="D197" s="17"/>
      <c r="E197" s="17"/>
      <c r="F197" s="17"/>
      <c r="G197" s="17"/>
      <c r="H197" s="17"/>
      <c r="I197" s="14"/>
      <c r="J197" s="14"/>
      <c r="K197" s="14"/>
      <c r="L197" s="14"/>
      <c r="M197" s="34" t="str">
        <f aca="false">IF(COUNT(C197:H197)=0,"",IFERROR(MAX(0,ROUND(IF(Settings!$B$33,IF(H197="",SUM(C197:G197),H197)-SUMPRODUCT(($C$4:$G$4="Y")*C197:G197),SUMPRODUCT(($C$4:$G$4="Y")*C197:G197)),0)),"Check inputs"))</f>
        <v/>
      </c>
      <c r="N197" s="35" t="str">
        <f aca="false">IF(AND(N($M197)&gt;0,UPPER($K197)&lt;&gt;"N"),IF(Settings!$B$28,MAX(0,MIN(Settings!$B$16,IF(I197="",Settings!$B$16,I197)))/Settings!$B$15,1),"")</f>
        <v/>
      </c>
      <c r="O197" s="35" t="str">
        <f aca="false">IF(AND(N($M197)&gt;0,UPPER($K197)&lt;&gt;"N"),IF(Settings!$B$28,MAX(0,MIN(Settings!$B$17,IF(J197="",Settings!$B$17,J197)))/Settings!$B$15,0),"")</f>
        <v/>
      </c>
      <c r="P197" s="34" t="str">
        <f aca="false">IF(N197="","",ROUND(IF(Settings!$B$27,MIN($M197,Settings!$B$29),$M197)*N197,0))</f>
        <v/>
      </c>
      <c r="Q197" s="34" t="str">
        <f aca="false">IF(N197="","",ROUND(IF(Settings!$B$27,MIN($M197,Settings!$B$30),$M197)*O197,0))</f>
        <v/>
      </c>
      <c r="R197" s="34" t="str">
        <f aca="false">IF(N197="","",P197+Q197)</f>
        <v/>
      </c>
      <c r="S197" s="34" t="str">
        <f aca="false">IF(N197="","",ROUND(MIN($M197,Settings!$B$29)*N197,0)+ROUND(MIN($M197,Settings!$B$30)*O197,0))</f>
        <v/>
      </c>
      <c r="T197" s="34" t="str">
        <f aca="false">IF(N197="","",IF(UPPER(L197)="N",0,S197))</f>
        <v/>
      </c>
      <c r="U197" s="25" t="str">
        <f aca="false">IF(N197="","",ROUND(R197*Settings!$B$18,0))</f>
        <v/>
      </c>
      <c r="V197" s="25" t="str">
        <f aca="false">IF(N197="","",ROUND(R197*Settings!$B$19,0)-X197)</f>
        <v/>
      </c>
      <c r="W197" s="25" t="str">
        <f aca="false">IF(N197="","",IF(Settings!$B$31,ROUND(R197*Settings!$B$22,0),0))</f>
        <v/>
      </c>
      <c r="X197" s="25" t="str">
        <f aca="false">IF(N197="","",MIN(ROUND(T197*Settings!$B$20,0),ROUND(R197*Settings!$B$19,0)))</f>
        <v/>
      </c>
      <c r="Y197" s="25" t="str">
        <f aca="false">IF(N197="","",IF(Settings!$B$31,ROUND(S197*Settings!$B$21,0),0))</f>
        <v/>
      </c>
      <c r="Z197" s="25" t="str">
        <f aca="false">IF(N197="","",U197+V197+X197+W197+Y197)</f>
        <v/>
      </c>
      <c r="AA197" s="7" t="str">
        <f aca="false">IF(COUNT(C197:H197)=0,"",TRIM(IF(UPPER(K197)="N","Not a PF member, skipped. ","")&amp;IF(AND(UPPER(K197)&lt;&gt;"N",N(M197)&lt;=0),"PF wage is zero, skipped. ","")&amp;IF(AND(UPPER(K197)&lt;&gt;"N",N(M197)&gt;0,UPPER(L197)="N"),"Pension not applicable, whole 12% goes to EPF. ","")&amp;IF(AND(ISNUMBER(H197),ABS(SUM(C197:G197)-N(H197))&gt;1),"Heads in the file add up to "&amp;SUM(C197:G197)&amp;", Gross is "&amp;H197&amp;" (a pay head may be missing). ","")&amp;IF(AND(Settings!$B$32,N(H197)&gt;0,ISNUMBER(M197),N(M197)&lt;H197*0.5-0.5),"50% check: PF wage is "&amp;TEXT(M197/H197,"0%")&amp;" of gross. ","")&amp;IF(AND(N(M197)&gt;0,UPPER(K197)&lt;&gt;"N",N(N197)+N(O197)=0),"No days to count. ","")))</f>
        <v/>
      </c>
    </row>
    <row r="198" customFormat="false" ht="15" hidden="false" customHeight="false" outlineLevel="0" collapsed="false">
      <c r="A198" s="14"/>
      <c r="B198" s="14"/>
      <c r="C198" s="17"/>
      <c r="D198" s="17"/>
      <c r="E198" s="17"/>
      <c r="F198" s="17"/>
      <c r="G198" s="17"/>
      <c r="H198" s="17"/>
      <c r="I198" s="14"/>
      <c r="J198" s="14"/>
      <c r="K198" s="14"/>
      <c r="L198" s="14"/>
      <c r="M198" s="34" t="str">
        <f aca="false">IF(COUNT(C198:H198)=0,"",IFERROR(MAX(0,ROUND(IF(Settings!$B$33,IF(H198="",SUM(C198:G198),H198)-SUMPRODUCT(($C$4:$G$4="Y")*C198:G198),SUMPRODUCT(($C$4:$G$4="Y")*C198:G198)),0)),"Check inputs"))</f>
        <v/>
      </c>
      <c r="N198" s="35" t="str">
        <f aca="false">IF(AND(N($M198)&gt;0,UPPER($K198)&lt;&gt;"N"),IF(Settings!$B$28,MAX(0,MIN(Settings!$B$16,IF(I198="",Settings!$B$16,I198)))/Settings!$B$15,1),"")</f>
        <v/>
      </c>
      <c r="O198" s="35" t="str">
        <f aca="false">IF(AND(N($M198)&gt;0,UPPER($K198)&lt;&gt;"N"),IF(Settings!$B$28,MAX(0,MIN(Settings!$B$17,IF(J198="",Settings!$B$17,J198)))/Settings!$B$15,0),"")</f>
        <v/>
      </c>
      <c r="P198" s="34" t="str">
        <f aca="false">IF(N198="","",ROUND(IF(Settings!$B$27,MIN($M198,Settings!$B$29),$M198)*N198,0))</f>
        <v/>
      </c>
      <c r="Q198" s="34" t="str">
        <f aca="false">IF(N198="","",ROUND(IF(Settings!$B$27,MIN($M198,Settings!$B$30),$M198)*O198,0))</f>
        <v/>
      </c>
      <c r="R198" s="34" t="str">
        <f aca="false">IF(N198="","",P198+Q198)</f>
        <v/>
      </c>
      <c r="S198" s="34" t="str">
        <f aca="false">IF(N198="","",ROUND(MIN($M198,Settings!$B$29)*N198,0)+ROUND(MIN($M198,Settings!$B$30)*O198,0))</f>
        <v/>
      </c>
      <c r="T198" s="34" t="str">
        <f aca="false">IF(N198="","",IF(UPPER(L198)="N",0,S198))</f>
        <v/>
      </c>
      <c r="U198" s="25" t="str">
        <f aca="false">IF(N198="","",ROUND(R198*Settings!$B$18,0))</f>
        <v/>
      </c>
      <c r="V198" s="25" t="str">
        <f aca="false">IF(N198="","",ROUND(R198*Settings!$B$19,0)-X198)</f>
        <v/>
      </c>
      <c r="W198" s="25" t="str">
        <f aca="false">IF(N198="","",IF(Settings!$B$31,ROUND(R198*Settings!$B$22,0),0))</f>
        <v/>
      </c>
      <c r="X198" s="25" t="str">
        <f aca="false">IF(N198="","",MIN(ROUND(T198*Settings!$B$20,0),ROUND(R198*Settings!$B$19,0)))</f>
        <v/>
      </c>
      <c r="Y198" s="25" t="str">
        <f aca="false">IF(N198="","",IF(Settings!$B$31,ROUND(S198*Settings!$B$21,0),0))</f>
        <v/>
      </c>
      <c r="Z198" s="25" t="str">
        <f aca="false">IF(N198="","",U198+V198+X198+W198+Y198)</f>
        <v/>
      </c>
      <c r="AA198" s="7" t="str">
        <f aca="false">IF(COUNT(C198:H198)=0,"",TRIM(IF(UPPER(K198)="N","Not a PF member, skipped. ","")&amp;IF(AND(UPPER(K198)&lt;&gt;"N",N(M198)&lt;=0),"PF wage is zero, skipped. ","")&amp;IF(AND(UPPER(K198)&lt;&gt;"N",N(M198)&gt;0,UPPER(L198)="N"),"Pension not applicable, whole 12% goes to EPF. ","")&amp;IF(AND(ISNUMBER(H198),ABS(SUM(C198:G198)-N(H198))&gt;1),"Heads in the file add up to "&amp;SUM(C198:G198)&amp;", Gross is "&amp;H198&amp;" (a pay head may be missing). ","")&amp;IF(AND(Settings!$B$32,N(H198)&gt;0,ISNUMBER(M198),N(M198)&lt;H198*0.5-0.5),"50% check: PF wage is "&amp;TEXT(M198/H198,"0%")&amp;" of gross. ","")&amp;IF(AND(N(M198)&gt;0,UPPER(K198)&lt;&gt;"N",N(N198)+N(O198)=0),"No days to count. ","")))</f>
        <v/>
      </c>
    </row>
    <row r="199" customFormat="false" ht="15" hidden="false" customHeight="false" outlineLevel="0" collapsed="false">
      <c r="A199" s="14"/>
      <c r="B199" s="14"/>
      <c r="C199" s="17"/>
      <c r="D199" s="17"/>
      <c r="E199" s="17"/>
      <c r="F199" s="17"/>
      <c r="G199" s="17"/>
      <c r="H199" s="17"/>
      <c r="I199" s="14"/>
      <c r="J199" s="14"/>
      <c r="K199" s="14"/>
      <c r="L199" s="14"/>
      <c r="M199" s="34" t="str">
        <f aca="false">IF(COUNT(C199:H199)=0,"",IFERROR(MAX(0,ROUND(IF(Settings!$B$33,IF(H199="",SUM(C199:G199),H199)-SUMPRODUCT(($C$4:$G$4="Y")*C199:G199),SUMPRODUCT(($C$4:$G$4="Y")*C199:G199)),0)),"Check inputs"))</f>
        <v/>
      </c>
      <c r="N199" s="35" t="str">
        <f aca="false">IF(AND(N($M199)&gt;0,UPPER($K199)&lt;&gt;"N"),IF(Settings!$B$28,MAX(0,MIN(Settings!$B$16,IF(I199="",Settings!$B$16,I199)))/Settings!$B$15,1),"")</f>
        <v/>
      </c>
      <c r="O199" s="35" t="str">
        <f aca="false">IF(AND(N($M199)&gt;0,UPPER($K199)&lt;&gt;"N"),IF(Settings!$B$28,MAX(0,MIN(Settings!$B$17,IF(J199="",Settings!$B$17,J199)))/Settings!$B$15,0),"")</f>
        <v/>
      </c>
      <c r="P199" s="34" t="str">
        <f aca="false">IF(N199="","",ROUND(IF(Settings!$B$27,MIN($M199,Settings!$B$29),$M199)*N199,0))</f>
        <v/>
      </c>
      <c r="Q199" s="34" t="str">
        <f aca="false">IF(N199="","",ROUND(IF(Settings!$B$27,MIN($M199,Settings!$B$30),$M199)*O199,0))</f>
        <v/>
      </c>
      <c r="R199" s="34" t="str">
        <f aca="false">IF(N199="","",P199+Q199)</f>
        <v/>
      </c>
      <c r="S199" s="34" t="str">
        <f aca="false">IF(N199="","",ROUND(MIN($M199,Settings!$B$29)*N199,0)+ROUND(MIN($M199,Settings!$B$30)*O199,0))</f>
        <v/>
      </c>
      <c r="T199" s="34" t="str">
        <f aca="false">IF(N199="","",IF(UPPER(L199)="N",0,S199))</f>
        <v/>
      </c>
      <c r="U199" s="25" t="str">
        <f aca="false">IF(N199="","",ROUND(R199*Settings!$B$18,0))</f>
        <v/>
      </c>
      <c r="V199" s="25" t="str">
        <f aca="false">IF(N199="","",ROUND(R199*Settings!$B$19,0)-X199)</f>
        <v/>
      </c>
      <c r="W199" s="25" t="str">
        <f aca="false">IF(N199="","",IF(Settings!$B$31,ROUND(R199*Settings!$B$22,0),0))</f>
        <v/>
      </c>
      <c r="X199" s="25" t="str">
        <f aca="false">IF(N199="","",MIN(ROUND(T199*Settings!$B$20,0),ROUND(R199*Settings!$B$19,0)))</f>
        <v/>
      </c>
      <c r="Y199" s="25" t="str">
        <f aca="false">IF(N199="","",IF(Settings!$B$31,ROUND(S199*Settings!$B$21,0),0))</f>
        <v/>
      </c>
      <c r="Z199" s="25" t="str">
        <f aca="false">IF(N199="","",U199+V199+X199+W199+Y199)</f>
        <v/>
      </c>
      <c r="AA199" s="7" t="str">
        <f aca="false">IF(COUNT(C199:H199)=0,"",TRIM(IF(UPPER(K199)="N","Not a PF member, skipped. ","")&amp;IF(AND(UPPER(K199)&lt;&gt;"N",N(M199)&lt;=0),"PF wage is zero, skipped. ","")&amp;IF(AND(UPPER(K199)&lt;&gt;"N",N(M199)&gt;0,UPPER(L199)="N"),"Pension not applicable, whole 12% goes to EPF. ","")&amp;IF(AND(ISNUMBER(H199),ABS(SUM(C199:G199)-N(H199))&gt;1),"Heads in the file add up to "&amp;SUM(C199:G199)&amp;", Gross is "&amp;H199&amp;" (a pay head may be missing). ","")&amp;IF(AND(Settings!$B$32,N(H199)&gt;0,ISNUMBER(M199),N(M199)&lt;H199*0.5-0.5),"50% check: PF wage is "&amp;TEXT(M199/H199,"0%")&amp;" of gross. ","")&amp;IF(AND(N(M199)&gt;0,UPPER(K199)&lt;&gt;"N",N(N199)+N(O199)=0),"No days to count. ","")))</f>
        <v/>
      </c>
    </row>
    <row r="200" customFormat="false" ht="15" hidden="false" customHeight="false" outlineLevel="0" collapsed="false">
      <c r="A200" s="14"/>
      <c r="B200" s="14"/>
      <c r="C200" s="17"/>
      <c r="D200" s="17"/>
      <c r="E200" s="17"/>
      <c r="F200" s="17"/>
      <c r="G200" s="17"/>
      <c r="H200" s="17"/>
      <c r="I200" s="14"/>
      <c r="J200" s="14"/>
      <c r="K200" s="14"/>
      <c r="L200" s="14"/>
      <c r="M200" s="34" t="str">
        <f aca="false">IF(COUNT(C200:H200)=0,"",IFERROR(MAX(0,ROUND(IF(Settings!$B$33,IF(H200="",SUM(C200:G200),H200)-SUMPRODUCT(($C$4:$G$4="Y")*C200:G200),SUMPRODUCT(($C$4:$G$4="Y")*C200:G200)),0)),"Check inputs"))</f>
        <v/>
      </c>
      <c r="N200" s="35" t="str">
        <f aca="false">IF(AND(N($M200)&gt;0,UPPER($K200)&lt;&gt;"N"),IF(Settings!$B$28,MAX(0,MIN(Settings!$B$16,IF(I200="",Settings!$B$16,I200)))/Settings!$B$15,1),"")</f>
        <v/>
      </c>
      <c r="O200" s="35" t="str">
        <f aca="false">IF(AND(N($M200)&gt;0,UPPER($K200)&lt;&gt;"N"),IF(Settings!$B$28,MAX(0,MIN(Settings!$B$17,IF(J200="",Settings!$B$17,J200)))/Settings!$B$15,0),"")</f>
        <v/>
      </c>
      <c r="P200" s="34" t="str">
        <f aca="false">IF(N200="","",ROUND(IF(Settings!$B$27,MIN($M200,Settings!$B$29),$M200)*N200,0))</f>
        <v/>
      </c>
      <c r="Q200" s="34" t="str">
        <f aca="false">IF(N200="","",ROUND(IF(Settings!$B$27,MIN($M200,Settings!$B$30),$M200)*O200,0))</f>
        <v/>
      </c>
      <c r="R200" s="34" t="str">
        <f aca="false">IF(N200="","",P200+Q200)</f>
        <v/>
      </c>
      <c r="S200" s="34" t="str">
        <f aca="false">IF(N200="","",ROUND(MIN($M200,Settings!$B$29)*N200,0)+ROUND(MIN($M200,Settings!$B$30)*O200,0))</f>
        <v/>
      </c>
      <c r="T200" s="34" t="str">
        <f aca="false">IF(N200="","",IF(UPPER(L200)="N",0,S200))</f>
        <v/>
      </c>
      <c r="U200" s="25" t="str">
        <f aca="false">IF(N200="","",ROUND(R200*Settings!$B$18,0))</f>
        <v/>
      </c>
      <c r="V200" s="25" t="str">
        <f aca="false">IF(N200="","",ROUND(R200*Settings!$B$19,0)-X200)</f>
        <v/>
      </c>
      <c r="W200" s="25" t="str">
        <f aca="false">IF(N200="","",IF(Settings!$B$31,ROUND(R200*Settings!$B$22,0),0))</f>
        <v/>
      </c>
      <c r="X200" s="25" t="str">
        <f aca="false">IF(N200="","",MIN(ROUND(T200*Settings!$B$20,0),ROUND(R200*Settings!$B$19,0)))</f>
        <v/>
      </c>
      <c r="Y200" s="25" t="str">
        <f aca="false">IF(N200="","",IF(Settings!$B$31,ROUND(S200*Settings!$B$21,0),0))</f>
        <v/>
      </c>
      <c r="Z200" s="25" t="str">
        <f aca="false">IF(N200="","",U200+V200+X200+W200+Y200)</f>
        <v/>
      </c>
      <c r="AA200" s="7" t="str">
        <f aca="false">IF(COUNT(C200:H200)=0,"",TRIM(IF(UPPER(K200)="N","Not a PF member, skipped. ","")&amp;IF(AND(UPPER(K200)&lt;&gt;"N",N(M200)&lt;=0),"PF wage is zero, skipped. ","")&amp;IF(AND(UPPER(K200)&lt;&gt;"N",N(M200)&gt;0,UPPER(L200)="N"),"Pension not applicable, whole 12% goes to EPF. ","")&amp;IF(AND(ISNUMBER(H200),ABS(SUM(C200:G200)-N(H200))&gt;1),"Heads in the file add up to "&amp;SUM(C200:G200)&amp;", Gross is "&amp;H200&amp;" (a pay head may be missing). ","")&amp;IF(AND(Settings!$B$32,N(H200)&gt;0,ISNUMBER(M200),N(M200)&lt;H200*0.5-0.5),"50% check: PF wage is "&amp;TEXT(M200/H200,"0%")&amp;" of gross. ","")&amp;IF(AND(N(M200)&gt;0,UPPER(K200)&lt;&gt;"N",N(N200)+N(O200)=0),"No days to count. ","")))</f>
        <v/>
      </c>
    </row>
    <row r="201" customFormat="false" ht="15" hidden="false" customHeight="false" outlineLevel="0" collapsed="false">
      <c r="A201" s="14"/>
      <c r="B201" s="14"/>
      <c r="C201" s="17"/>
      <c r="D201" s="17"/>
      <c r="E201" s="17"/>
      <c r="F201" s="17"/>
      <c r="G201" s="17"/>
      <c r="H201" s="17"/>
      <c r="I201" s="14"/>
      <c r="J201" s="14"/>
      <c r="K201" s="14"/>
      <c r="L201" s="14"/>
      <c r="M201" s="34" t="str">
        <f aca="false">IF(COUNT(C201:H201)=0,"",IFERROR(MAX(0,ROUND(IF(Settings!$B$33,IF(H201="",SUM(C201:G201),H201)-SUMPRODUCT(($C$4:$G$4="Y")*C201:G201),SUMPRODUCT(($C$4:$G$4="Y")*C201:G201)),0)),"Check inputs"))</f>
        <v/>
      </c>
      <c r="N201" s="35" t="str">
        <f aca="false">IF(AND(N($M201)&gt;0,UPPER($K201)&lt;&gt;"N"),IF(Settings!$B$28,MAX(0,MIN(Settings!$B$16,IF(I201="",Settings!$B$16,I201)))/Settings!$B$15,1),"")</f>
        <v/>
      </c>
      <c r="O201" s="35" t="str">
        <f aca="false">IF(AND(N($M201)&gt;0,UPPER($K201)&lt;&gt;"N"),IF(Settings!$B$28,MAX(0,MIN(Settings!$B$17,IF(J201="",Settings!$B$17,J201)))/Settings!$B$15,0),"")</f>
        <v/>
      </c>
      <c r="P201" s="34" t="str">
        <f aca="false">IF(N201="","",ROUND(IF(Settings!$B$27,MIN($M201,Settings!$B$29),$M201)*N201,0))</f>
        <v/>
      </c>
      <c r="Q201" s="34" t="str">
        <f aca="false">IF(N201="","",ROUND(IF(Settings!$B$27,MIN($M201,Settings!$B$30),$M201)*O201,0))</f>
        <v/>
      </c>
      <c r="R201" s="34" t="str">
        <f aca="false">IF(N201="","",P201+Q201)</f>
        <v/>
      </c>
      <c r="S201" s="34" t="str">
        <f aca="false">IF(N201="","",ROUND(MIN($M201,Settings!$B$29)*N201,0)+ROUND(MIN($M201,Settings!$B$30)*O201,0))</f>
        <v/>
      </c>
      <c r="T201" s="34" t="str">
        <f aca="false">IF(N201="","",IF(UPPER(L201)="N",0,S201))</f>
        <v/>
      </c>
      <c r="U201" s="25" t="str">
        <f aca="false">IF(N201="","",ROUND(R201*Settings!$B$18,0))</f>
        <v/>
      </c>
      <c r="V201" s="25" t="str">
        <f aca="false">IF(N201="","",ROUND(R201*Settings!$B$19,0)-X201)</f>
        <v/>
      </c>
      <c r="W201" s="25" t="str">
        <f aca="false">IF(N201="","",IF(Settings!$B$31,ROUND(R201*Settings!$B$22,0),0))</f>
        <v/>
      </c>
      <c r="X201" s="25" t="str">
        <f aca="false">IF(N201="","",MIN(ROUND(T201*Settings!$B$20,0),ROUND(R201*Settings!$B$19,0)))</f>
        <v/>
      </c>
      <c r="Y201" s="25" t="str">
        <f aca="false">IF(N201="","",IF(Settings!$B$31,ROUND(S201*Settings!$B$21,0),0))</f>
        <v/>
      </c>
      <c r="Z201" s="25" t="str">
        <f aca="false">IF(N201="","",U201+V201+X201+W201+Y201)</f>
        <v/>
      </c>
      <c r="AA201" s="7" t="str">
        <f aca="false">IF(COUNT(C201:H201)=0,"",TRIM(IF(UPPER(K201)="N","Not a PF member, skipped. ","")&amp;IF(AND(UPPER(K201)&lt;&gt;"N",N(M201)&lt;=0),"PF wage is zero, skipped. ","")&amp;IF(AND(UPPER(K201)&lt;&gt;"N",N(M201)&gt;0,UPPER(L201)="N"),"Pension not applicable, whole 12% goes to EPF. ","")&amp;IF(AND(ISNUMBER(H201),ABS(SUM(C201:G201)-N(H201))&gt;1),"Heads in the file add up to "&amp;SUM(C201:G201)&amp;", Gross is "&amp;H201&amp;" (a pay head may be missing). ","")&amp;IF(AND(Settings!$B$32,N(H201)&gt;0,ISNUMBER(M201),N(M201)&lt;H201*0.5-0.5),"50% check: PF wage is "&amp;TEXT(M201/H201,"0%")&amp;" of gross. ","")&amp;IF(AND(N(M201)&gt;0,UPPER(K201)&lt;&gt;"N",N(N201)+N(O201)=0),"No days to count. ","")))</f>
        <v/>
      </c>
    </row>
    <row r="202" customFormat="false" ht="15" hidden="false" customHeight="false" outlineLevel="0" collapsed="false">
      <c r="A202" s="14"/>
      <c r="B202" s="14"/>
      <c r="C202" s="17"/>
      <c r="D202" s="17"/>
      <c r="E202" s="17"/>
      <c r="F202" s="17"/>
      <c r="G202" s="17"/>
      <c r="H202" s="17"/>
      <c r="I202" s="14"/>
      <c r="J202" s="14"/>
      <c r="K202" s="14"/>
      <c r="L202" s="14"/>
      <c r="M202" s="34" t="str">
        <f aca="false">IF(COUNT(C202:H202)=0,"",IFERROR(MAX(0,ROUND(IF(Settings!$B$33,IF(H202="",SUM(C202:G202),H202)-SUMPRODUCT(($C$4:$G$4="Y")*C202:G202),SUMPRODUCT(($C$4:$G$4="Y")*C202:G202)),0)),"Check inputs"))</f>
        <v/>
      </c>
      <c r="N202" s="35" t="str">
        <f aca="false">IF(AND(N($M202)&gt;0,UPPER($K202)&lt;&gt;"N"),IF(Settings!$B$28,MAX(0,MIN(Settings!$B$16,IF(I202="",Settings!$B$16,I202)))/Settings!$B$15,1),"")</f>
        <v/>
      </c>
      <c r="O202" s="35" t="str">
        <f aca="false">IF(AND(N($M202)&gt;0,UPPER($K202)&lt;&gt;"N"),IF(Settings!$B$28,MAX(0,MIN(Settings!$B$17,IF(J202="",Settings!$B$17,J202)))/Settings!$B$15,0),"")</f>
        <v/>
      </c>
      <c r="P202" s="34" t="str">
        <f aca="false">IF(N202="","",ROUND(IF(Settings!$B$27,MIN($M202,Settings!$B$29),$M202)*N202,0))</f>
        <v/>
      </c>
      <c r="Q202" s="34" t="str">
        <f aca="false">IF(N202="","",ROUND(IF(Settings!$B$27,MIN($M202,Settings!$B$30),$M202)*O202,0))</f>
        <v/>
      </c>
      <c r="R202" s="34" t="str">
        <f aca="false">IF(N202="","",P202+Q202)</f>
        <v/>
      </c>
      <c r="S202" s="34" t="str">
        <f aca="false">IF(N202="","",ROUND(MIN($M202,Settings!$B$29)*N202,0)+ROUND(MIN($M202,Settings!$B$30)*O202,0))</f>
        <v/>
      </c>
      <c r="T202" s="34" t="str">
        <f aca="false">IF(N202="","",IF(UPPER(L202)="N",0,S202))</f>
        <v/>
      </c>
      <c r="U202" s="25" t="str">
        <f aca="false">IF(N202="","",ROUND(R202*Settings!$B$18,0))</f>
        <v/>
      </c>
      <c r="V202" s="25" t="str">
        <f aca="false">IF(N202="","",ROUND(R202*Settings!$B$19,0)-X202)</f>
        <v/>
      </c>
      <c r="W202" s="25" t="str">
        <f aca="false">IF(N202="","",IF(Settings!$B$31,ROUND(R202*Settings!$B$22,0),0))</f>
        <v/>
      </c>
      <c r="X202" s="25" t="str">
        <f aca="false">IF(N202="","",MIN(ROUND(T202*Settings!$B$20,0),ROUND(R202*Settings!$B$19,0)))</f>
        <v/>
      </c>
      <c r="Y202" s="25" t="str">
        <f aca="false">IF(N202="","",IF(Settings!$B$31,ROUND(S202*Settings!$B$21,0),0))</f>
        <v/>
      </c>
      <c r="Z202" s="25" t="str">
        <f aca="false">IF(N202="","",U202+V202+X202+W202+Y202)</f>
        <v/>
      </c>
      <c r="AA202" s="7" t="str">
        <f aca="false">IF(COUNT(C202:H202)=0,"",TRIM(IF(UPPER(K202)="N","Not a PF member, skipped. ","")&amp;IF(AND(UPPER(K202)&lt;&gt;"N",N(M202)&lt;=0),"PF wage is zero, skipped. ","")&amp;IF(AND(UPPER(K202)&lt;&gt;"N",N(M202)&gt;0,UPPER(L202)="N"),"Pension not applicable, whole 12% goes to EPF. ","")&amp;IF(AND(ISNUMBER(H202),ABS(SUM(C202:G202)-N(H202))&gt;1),"Heads in the file add up to "&amp;SUM(C202:G202)&amp;", Gross is "&amp;H202&amp;" (a pay head may be missing). ","")&amp;IF(AND(Settings!$B$32,N(H202)&gt;0,ISNUMBER(M202),N(M202)&lt;H202*0.5-0.5),"50% check: PF wage is "&amp;TEXT(M202/H202,"0%")&amp;" of gross. ","")&amp;IF(AND(N(M202)&gt;0,UPPER(K202)&lt;&gt;"N",N(N202)+N(O202)=0),"No days to count. ","")))</f>
        <v/>
      </c>
    </row>
    <row r="203" customFormat="false" ht="15" hidden="false" customHeight="false" outlineLevel="0" collapsed="false">
      <c r="A203" s="14"/>
      <c r="B203" s="14"/>
      <c r="C203" s="17"/>
      <c r="D203" s="17"/>
      <c r="E203" s="17"/>
      <c r="F203" s="17"/>
      <c r="G203" s="17"/>
      <c r="H203" s="17"/>
      <c r="I203" s="14"/>
      <c r="J203" s="14"/>
      <c r="K203" s="14"/>
      <c r="L203" s="14"/>
      <c r="M203" s="34" t="str">
        <f aca="false">IF(COUNT(C203:H203)=0,"",IFERROR(MAX(0,ROUND(IF(Settings!$B$33,IF(H203="",SUM(C203:G203),H203)-SUMPRODUCT(($C$4:$G$4="Y")*C203:G203),SUMPRODUCT(($C$4:$G$4="Y")*C203:G203)),0)),"Check inputs"))</f>
        <v/>
      </c>
      <c r="N203" s="35" t="str">
        <f aca="false">IF(AND(N($M203)&gt;0,UPPER($K203)&lt;&gt;"N"),IF(Settings!$B$28,MAX(0,MIN(Settings!$B$16,IF(I203="",Settings!$B$16,I203)))/Settings!$B$15,1),"")</f>
        <v/>
      </c>
      <c r="O203" s="35" t="str">
        <f aca="false">IF(AND(N($M203)&gt;0,UPPER($K203)&lt;&gt;"N"),IF(Settings!$B$28,MAX(0,MIN(Settings!$B$17,IF(J203="",Settings!$B$17,J203)))/Settings!$B$15,0),"")</f>
        <v/>
      </c>
      <c r="P203" s="34" t="str">
        <f aca="false">IF(N203="","",ROUND(IF(Settings!$B$27,MIN($M203,Settings!$B$29),$M203)*N203,0))</f>
        <v/>
      </c>
      <c r="Q203" s="34" t="str">
        <f aca="false">IF(N203="","",ROUND(IF(Settings!$B$27,MIN($M203,Settings!$B$30),$M203)*O203,0))</f>
        <v/>
      </c>
      <c r="R203" s="34" t="str">
        <f aca="false">IF(N203="","",P203+Q203)</f>
        <v/>
      </c>
      <c r="S203" s="34" t="str">
        <f aca="false">IF(N203="","",ROUND(MIN($M203,Settings!$B$29)*N203,0)+ROUND(MIN($M203,Settings!$B$30)*O203,0))</f>
        <v/>
      </c>
      <c r="T203" s="34" t="str">
        <f aca="false">IF(N203="","",IF(UPPER(L203)="N",0,S203))</f>
        <v/>
      </c>
      <c r="U203" s="25" t="str">
        <f aca="false">IF(N203="","",ROUND(R203*Settings!$B$18,0))</f>
        <v/>
      </c>
      <c r="V203" s="25" t="str">
        <f aca="false">IF(N203="","",ROUND(R203*Settings!$B$19,0)-X203)</f>
        <v/>
      </c>
      <c r="W203" s="25" t="str">
        <f aca="false">IF(N203="","",IF(Settings!$B$31,ROUND(R203*Settings!$B$22,0),0))</f>
        <v/>
      </c>
      <c r="X203" s="25" t="str">
        <f aca="false">IF(N203="","",MIN(ROUND(T203*Settings!$B$20,0),ROUND(R203*Settings!$B$19,0)))</f>
        <v/>
      </c>
      <c r="Y203" s="25" t="str">
        <f aca="false">IF(N203="","",IF(Settings!$B$31,ROUND(S203*Settings!$B$21,0),0))</f>
        <v/>
      </c>
      <c r="Z203" s="25" t="str">
        <f aca="false">IF(N203="","",U203+V203+X203+W203+Y203)</f>
        <v/>
      </c>
      <c r="AA203" s="7" t="str">
        <f aca="false">IF(COUNT(C203:H203)=0,"",TRIM(IF(UPPER(K203)="N","Not a PF member, skipped. ","")&amp;IF(AND(UPPER(K203)&lt;&gt;"N",N(M203)&lt;=0),"PF wage is zero, skipped. ","")&amp;IF(AND(UPPER(K203)&lt;&gt;"N",N(M203)&gt;0,UPPER(L203)="N"),"Pension not applicable, whole 12% goes to EPF. ","")&amp;IF(AND(ISNUMBER(H203),ABS(SUM(C203:G203)-N(H203))&gt;1),"Heads in the file add up to "&amp;SUM(C203:G203)&amp;", Gross is "&amp;H203&amp;" (a pay head may be missing). ","")&amp;IF(AND(Settings!$B$32,N(H203)&gt;0,ISNUMBER(M203),N(M203)&lt;H203*0.5-0.5),"50% check: PF wage is "&amp;TEXT(M203/H203,"0%")&amp;" of gross. ","")&amp;IF(AND(N(M203)&gt;0,UPPER(K203)&lt;&gt;"N",N(N203)+N(O203)=0),"No days to count. ","")))</f>
        <v/>
      </c>
    </row>
    <row r="204" customFormat="false" ht="15" hidden="false" customHeight="false" outlineLevel="0" collapsed="false">
      <c r="A204" s="14"/>
      <c r="B204" s="14"/>
      <c r="C204" s="17"/>
      <c r="D204" s="17"/>
      <c r="E204" s="17"/>
      <c r="F204" s="17"/>
      <c r="G204" s="17"/>
      <c r="H204" s="17"/>
      <c r="I204" s="14"/>
      <c r="J204" s="14"/>
      <c r="K204" s="14"/>
      <c r="L204" s="14"/>
      <c r="M204" s="34" t="str">
        <f aca="false">IF(COUNT(C204:H204)=0,"",IFERROR(MAX(0,ROUND(IF(Settings!$B$33,IF(H204="",SUM(C204:G204),H204)-SUMPRODUCT(($C$4:$G$4="Y")*C204:G204),SUMPRODUCT(($C$4:$G$4="Y")*C204:G204)),0)),"Check inputs"))</f>
        <v/>
      </c>
      <c r="N204" s="35" t="str">
        <f aca="false">IF(AND(N($M204)&gt;0,UPPER($K204)&lt;&gt;"N"),IF(Settings!$B$28,MAX(0,MIN(Settings!$B$16,IF(I204="",Settings!$B$16,I204)))/Settings!$B$15,1),"")</f>
        <v/>
      </c>
      <c r="O204" s="35" t="str">
        <f aca="false">IF(AND(N($M204)&gt;0,UPPER($K204)&lt;&gt;"N"),IF(Settings!$B$28,MAX(0,MIN(Settings!$B$17,IF(J204="",Settings!$B$17,J204)))/Settings!$B$15,0),"")</f>
        <v/>
      </c>
      <c r="P204" s="34" t="str">
        <f aca="false">IF(N204="","",ROUND(IF(Settings!$B$27,MIN($M204,Settings!$B$29),$M204)*N204,0))</f>
        <v/>
      </c>
      <c r="Q204" s="34" t="str">
        <f aca="false">IF(N204="","",ROUND(IF(Settings!$B$27,MIN($M204,Settings!$B$30),$M204)*O204,0))</f>
        <v/>
      </c>
      <c r="R204" s="34" t="str">
        <f aca="false">IF(N204="","",P204+Q204)</f>
        <v/>
      </c>
      <c r="S204" s="34" t="str">
        <f aca="false">IF(N204="","",ROUND(MIN($M204,Settings!$B$29)*N204,0)+ROUND(MIN($M204,Settings!$B$30)*O204,0))</f>
        <v/>
      </c>
      <c r="T204" s="34" t="str">
        <f aca="false">IF(N204="","",IF(UPPER(L204)="N",0,S204))</f>
        <v/>
      </c>
      <c r="U204" s="25" t="str">
        <f aca="false">IF(N204="","",ROUND(R204*Settings!$B$18,0))</f>
        <v/>
      </c>
      <c r="V204" s="25" t="str">
        <f aca="false">IF(N204="","",ROUND(R204*Settings!$B$19,0)-X204)</f>
        <v/>
      </c>
      <c r="W204" s="25" t="str">
        <f aca="false">IF(N204="","",IF(Settings!$B$31,ROUND(R204*Settings!$B$22,0),0))</f>
        <v/>
      </c>
      <c r="X204" s="25" t="str">
        <f aca="false">IF(N204="","",MIN(ROUND(T204*Settings!$B$20,0),ROUND(R204*Settings!$B$19,0)))</f>
        <v/>
      </c>
      <c r="Y204" s="25" t="str">
        <f aca="false">IF(N204="","",IF(Settings!$B$31,ROUND(S204*Settings!$B$21,0),0))</f>
        <v/>
      </c>
      <c r="Z204" s="25" t="str">
        <f aca="false">IF(N204="","",U204+V204+X204+W204+Y204)</f>
        <v/>
      </c>
      <c r="AA204" s="7" t="str">
        <f aca="false">IF(COUNT(C204:H204)=0,"",TRIM(IF(UPPER(K204)="N","Not a PF member, skipped. ","")&amp;IF(AND(UPPER(K204)&lt;&gt;"N",N(M204)&lt;=0),"PF wage is zero, skipped. ","")&amp;IF(AND(UPPER(K204)&lt;&gt;"N",N(M204)&gt;0,UPPER(L204)="N"),"Pension not applicable, whole 12% goes to EPF. ","")&amp;IF(AND(ISNUMBER(H204),ABS(SUM(C204:G204)-N(H204))&gt;1),"Heads in the file add up to "&amp;SUM(C204:G204)&amp;", Gross is "&amp;H204&amp;" (a pay head may be missing). ","")&amp;IF(AND(Settings!$B$32,N(H204)&gt;0,ISNUMBER(M204),N(M204)&lt;H204*0.5-0.5),"50% check: PF wage is "&amp;TEXT(M204/H204,"0%")&amp;" of gross. ","")&amp;IF(AND(N(M204)&gt;0,UPPER(K204)&lt;&gt;"N",N(N204)+N(O204)=0),"No days to count. ","")))</f>
        <v/>
      </c>
    </row>
    <row r="205" customFormat="false" ht="15" hidden="false" customHeight="false" outlineLevel="0" collapsed="false">
      <c r="A205" s="14"/>
      <c r="B205" s="14"/>
      <c r="C205" s="17"/>
      <c r="D205" s="17"/>
      <c r="E205" s="17"/>
      <c r="F205" s="17"/>
      <c r="G205" s="17"/>
      <c r="H205" s="17"/>
      <c r="I205" s="14"/>
      <c r="J205" s="14"/>
      <c r="K205" s="14"/>
      <c r="L205" s="14"/>
      <c r="M205" s="34" t="str">
        <f aca="false">IF(COUNT(C205:H205)=0,"",IFERROR(MAX(0,ROUND(IF(Settings!$B$33,IF(H205="",SUM(C205:G205),H205)-SUMPRODUCT(($C$4:$G$4="Y")*C205:G205),SUMPRODUCT(($C$4:$G$4="Y")*C205:G205)),0)),"Check inputs"))</f>
        <v/>
      </c>
      <c r="N205" s="35" t="str">
        <f aca="false">IF(AND(N($M205)&gt;0,UPPER($K205)&lt;&gt;"N"),IF(Settings!$B$28,MAX(0,MIN(Settings!$B$16,IF(I205="",Settings!$B$16,I205)))/Settings!$B$15,1),"")</f>
        <v/>
      </c>
      <c r="O205" s="35" t="str">
        <f aca="false">IF(AND(N($M205)&gt;0,UPPER($K205)&lt;&gt;"N"),IF(Settings!$B$28,MAX(0,MIN(Settings!$B$17,IF(J205="",Settings!$B$17,J205)))/Settings!$B$15,0),"")</f>
        <v/>
      </c>
      <c r="P205" s="34" t="str">
        <f aca="false">IF(N205="","",ROUND(IF(Settings!$B$27,MIN($M205,Settings!$B$29),$M205)*N205,0))</f>
        <v/>
      </c>
      <c r="Q205" s="34" t="str">
        <f aca="false">IF(N205="","",ROUND(IF(Settings!$B$27,MIN($M205,Settings!$B$30),$M205)*O205,0))</f>
        <v/>
      </c>
      <c r="R205" s="34" t="str">
        <f aca="false">IF(N205="","",P205+Q205)</f>
        <v/>
      </c>
      <c r="S205" s="34" t="str">
        <f aca="false">IF(N205="","",ROUND(MIN($M205,Settings!$B$29)*N205,0)+ROUND(MIN($M205,Settings!$B$30)*O205,0))</f>
        <v/>
      </c>
      <c r="T205" s="34" t="str">
        <f aca="false">IF(N205="","",IF(UPPER(L205)="N",0,S205))</f>
        <v/>
      </c>
      <c r="U205" s="25" t="str">
        <f aca="false">IF(N205="","",ROUND(R205*Settings!$B$18,0))</f>
        <v/>
      </c>
      <c r="V205" s="25" t="str">
        <f aca="false">IF(N205="","",ROUND(R205*Settings!$B$19,0)-X205)</f>
        <v/>
      </c>
      <c r="W205" s="25" t="str">
        <f aca="false">IF(N205="","",IF(Settings!$B$31,ROUND(R205*Settings!$B$22,0),0))</f>
        <v/>
      </c>
      <c r="X205" s="25" t="str">
        <f aca="false">IF(N205="","",MIN(ROUND(T205*Settings!$B$20,0),ROUND(R205*Settings!$B$19,0)))</f>
        <v/>
      </c>
      <c r="Y205" s="25" t="str">
        <f aca="false">IF(N205="","",IF(Settings!$B$31,ROUND(S205*Settings!$B$21,0),0))</f>
        <v/>
      </c>
      <c r="Z205" s="25" t="str">
        <f aca="false">IF(N205="","",U205+V205+X205+W205+Y205)</f>
        <v/>
      </c>
      <c r="AA205" s="7" t="str">
        <f aca="false">IF(COUNT(C205:H205)=0,"",TRIM(IF(UPPER(K205)="N","Not a PF member, skipped. ","")&amp;IF(AND(UPPER(K205)&lt;&gt;"N",N(M205)&lt;=0),"PF wage is zero, skipped. ","")&amp;IF(AND(UPPER(K205)&lt;&gt;"N",N(M205)&gt;0,UPPER(L205)="N"),"Pension not applicable, whole 12% goes to EPF. ","")&amp;IF(AND(ISNUMBER(H205),ABS(SUM(C205:G205)-N(H205))&gt;1),"Heads in the file add up to "&amp;SUM(C205:G205)&amp;", Gross is "&amp;H205&amp;" (a pay head may be missing). ","")&amp;IF(AND(Settings!$B$32,N(H205)&gt;0,ISNUMBER(M205),N(M205)&lt;H205*0.5-0.5),"50% check: PF wage is "&amp;TEXT(M205/H205,"0%")&amp;" of gross. ","")&amp;IF(AND(N(M205)&gt;0,UPPER(K205)&lt;&gt;"N",N(N205)+N(O205)=0),"No days to count. ","")))</f>
        <v/>
      </c>
    </row>
    <row r="206" customFormat="false" ht="15" hidden="false" customHeight="false" outlineLevel="0" collapsed="false">
      <c r="A206" s="14"/>
      <c r="B206" s="14"/>
      <c r="C206" s="17"/>
      <c r="D206" s="17"/>
      <c r="E206" s="17"/>
      <c r="F206" s="17"/>
      <c r="G206" s="17"/>
      <c r="H206" s="17"/>
      <c r="I206" s="14"/>
      <c r="J206" s="14"/>
      <c r="K206" s="14"/>
      <c r="L206" s="14"/>
      <c r="M206" s="34" t="str">
        <f aca="false">IF(COUNT(C206:H206)=0,"",IFERROR(MAX(0,ROUND(IF(Settings!$B$33,IF(H206="",SUM(C206:G206),H206)-SUMPRODUCT(($C$4:$G$4="Y")*C206:G206),SUMPRODUCT(($C$4:$G$4="Y")*C206:G206)),0)),"Check inputs"))</f>
        <v/>
      </c>
      <c r="N206" s="35" t="str">
        <f aca="false">IF(AND(N($M206)&gt;0,UPPER($K206)&lt;&gt;"N"),IF(Settings!$B$28,MAX(0,MIN(Settings!$B$16,IF(I206="",Settings!$B$16,I206)))/Settings!$B$15,1),"")</f>
        <v/>
      </c>
      <c r="O206" s="35" t="str">
        <f aca="false">IF(AND(N($M206)&gt;0,UPPER($K206)&lt;&gt;"N"),IF(Settings!$B$28,MAX(0,MIN(Settings!$B$17,IF(J206="",Settings!$B$17,J206)))/Settings!$B$15,0),"")</f>
        <v/>
      </c>
      <c r="P206" s="34" t="str">
        <f aca="false">IF(N206="","",ROUND(IF(Settings!$B$27,MIN($M206,Settings!$B$29),$M206)*N206,0))</f>
        <v/>
      </c>
      <c r="Q206" s="34" t="str">
        <f aca="false">IF(N206="","",ROUND(IF(Settings!$B$27,MIN($M206,Settings!$B$30),$M206)*O206,0))</f>
        <v/>
      </c>
      <c r="R206" s="34" t="str">
        <f aca="false">IF(N206="","",P206+Q206)</f>
        <v/>
      </c>
      <c r="S206" s="34" t="str">
        <f aca="false">IF(N206="","",ROUND(MIN($M206,Settings!$B$29)*N206,0)+ROUND(MIN($M206,Settings!$B$30)*O206,0))</f>
        <v/>
      </c>
      <c r="T206" s="34" t="str">
        <f aca="false">IF(N206="","",IF(UPPER(L206)="N",0,S206))</f>
        <v/>
      </c>
      <c r="U206" s="25" t="str">
        <f aca="false">IF(N206="","",ROUND(R206*Settings!$B$18,0))</f>
        <v/>
      </c>
      <c r="V206" s="25" t="str">
        <f aca="false">IF(N206="","",ROUND(R206*Settings!$B$19,0)-X206)</f>
        <v/>
      </c>
      <c r="W206" s="25" t="str">
        <f aca="false">IF(N206="","",IF(Settings!$B$31,ROUND(R206*Settings!$B$22,0),0))</f>
        <v/>
      </c>
      <c r="X206" s="25" t="str">
        <f aca="false">IF(N206="","",MIN(ROUND(T206*Settings!$B$20,0),ROUND(R206*Settings!$B$19,0)))</f>
        <v/>
      </c>
      <c r="Y206" s="25" t="str">
        <f aca="false">IF(N206="","",IF(Settings!$B$31,ROUND(S206*Settings!$B$21,0),0))</f>
        <v/>
      </c>
      <c r="Z206" s="25" t="str">
        <f aca="false">IF(N206="","",U206+V206+X206+W206+Y206)</f>
        <v/>
      </c>
      <c r="AA206" s="7" t="str">
        <f aca="false">IF(COUNT(C206:H206)=0,"",TRIM(IF(UPPER(K206)="N","Not a PF member, skipped. ","")&amp;IF(AND(UPPER(K206)&lt;&gt;"N",N(M206)&lt;=0),"PF wage is zero, skipped. ","")&amp;IF(AND(UPPER(K206)&lt;&gt;"N",N(M206)&gt;0,UPPER(L206)="N"),"Pension not applicable, whole 12% goes to EPF. ","")&amp;IF(AND(ISNUMBER(H206),ABS(SUM(C206:G206)-N(H206))&gt;1),"Heads in the file add up to "&amp;SUM(C206:G206)&amp;", Gross is "&amp;H206&amp;" (a pay head may be missing). ","")&amp;IF(AND(Settings!$B$32,N(H206)&gt;0,ISNUMBER(M206),N(M206)&lt;H206*0.5-0.5),"50% check: PF wage is "&amp;TEXT(M206/H206,"0%")&amp;" of gross. ","")&amp;IF(AND(N(M206)&gt;0,UPPER(K206)&lt;&gt;"N",N(N206)+N(O206)=0),"No days to count. ","")))</f>
        <v/>
      </c>
    </row>
    <row r="207" customFormat="false" ht="15" hidden="false" customHeight="false" outlineLevel="0" collapsed="false">
      <c r="A207" s="14"/>
      <c r="B207" s="14"/>
      <c r="C207" s="17"/>
      <c r="D207" s="17"/>
      <c r="E207" s="17"/>
      <c r="F207" s="17"/>
      <c r="G207" s="17"/>
      <c r="H207" s="17"/>
      <c r="I207" s="14"/>
      <c r="J207" s="14"/>
      <c r="K207" s="14"/>
      <c r="L207" s="14"/>
      <c r="M207" s="34" t="str">
        <f aca="false">IF(COUNT(C207:H207)=0,"",IFERROR(MAX(0,ROUND(IF(Settings!$B$33,IF(H207="",SUM(C207:G207),H207)-SUMPRODUCT(($C$4:$G$4="Y")*C207:G207),SUMPRODUCT(($C$4:$G$4="Y")*C207:G207)),0)),"Check inputs"))</f>
        <v/>
      </c>
      <c r="N207" s="35" t="str">
        <f aca="false">IF(AND(N($M207)&gt;0,UPPER($K207)&lt;&gt;"N"),IF(Settings!$B$28,MAX(0,MIN(Settings!$B$16,IF(I207="",Settings!$B$16,I207)))/Settings!$B$15,1),"")</f>
        <v/>
      </c>
      <c r="O207" s="35" t="str">
        <f aca="false">IF(AND(N($M207)&gt;0,UPPER($K207)&lt;&gt;"N"),IF(Settings!$B$28,MAX(0,MIN(Settings!$B$17,IF(J207="",Settings!$B$17,J207)))/Settings!$B$15,0),"")</f>
        <v/>
      </c>
      <c r="P207" s="34" t="str">
        <f aca="false">IF(N207="","",ROUND(IF(Settings!$B$27,MIN($M207,Settings!$B$29),$M207)*N207,0))</f>
        <v/>
      </c>
      <c r="Q207" s="34" t="str">
        <f aca="false">IF(N207="","",ROUND(IF(Settings!$B$27,MIN($M207,Settings!$B$30),$M207)*O207,0))</f>
        <v/>
      </c>
      <c r="R207" s="34" t="str">
        <f aca="false">IF(N207="","",P207+Q207)</f>
        <v/>
      </c>
      <c r="S207" s="34" t="str">
        <f aca="false">IF(N207="","",ROUND(MIN($M207,Settings!$B$29)*N207,0)+ROUND(MIN($M207,Settings!$B$30)*O207,0))</f>
        <v/>
      </c>
      <c r="T207" s="34" t="str">
        <f aca="false">IF(N207="","",IF(UPPER(L207)="N",0,S207))</f>
        <v/>
      </c>
      <c r="U207" s="25" t="str">
        <f aca="false">IF(N207="","",ROUND(R207*Settings!$B$18,0))</f>
        <v/>
      </c>
      <c r="V207" s="25" t="str">
        <f aca="false">IF(N207="","",ROUND(R207*Settings!$B$19,0)-X207)</f>
        <v/>
      </c>
      <c r="W207" s="25" t="str">
        <f aca="false">IF(N207="","",IF(Settings!$B$31,ROUND(R207*Settings!$B$22,0),0))</f>
        <v/>
      </c>
      <c r="X207" s="25" t="str">
        <f aca="false">IF(N207="","",MIN(ROUND(T207*Settings!$B$20,0),ROUND(R207*Settings!$B$19,0)))</f>
        <v/>
      </c>
      <c r="Y207" s="25" t="str">
        <f aca="false">IF(N207="","",IF(Settings!$B$31,ROUND(S207*Settings!$B$21,0),0))</f>
        <v/>
      </c>
      <c r="Z207" s="25" t="str">
        <f aca="false">IF(N207="","",U207+V207+X207+W207+Y207)</f>
        <v/>
      </c>
      <c r="AA207" s="7" t="str">
        <f aca="false">IF(COUNT(C207:H207)=0,"",TRIM(IF(UPPER(K207)="N","Not a PF member, skipped. ","")&amp;IF(AND(UPPER(K207)&lt;&gt;"N",N(M207)&lt;=0),"PF wage is zero, skipped. ","")&amp;IF(AND(UPPER(K207)&lt;&gt;"N",N(M207)&gt;0,UPPER(L207)="N"),"Pension not applicable, whole 12% goes to EPF. ","")&amp;IF(AND(ISNUMBER(H207),ABS(SUM(C207:G207)-N(H207))&gt;1),"Heads in the file add up to "&amp;SUM(C207:G207)&amp;", Gross is "&amp;H207&amp;" (a pay head may be missing). ","")&amp;IF(AND(Settings!$B$32,N(H207)&gt;0,ISNUMBER(M207),N(M207)&lt;H207*0.5-0.5),"50% check: PF wage is "&amp;TEXT(M207/H207,"0%")&amp;" of gross. ","")&amp;IF(AND(N(M207)&gt;0,UPPER(K207)&lt;&gt;"N",N(N207)+N(O207)=0),"No days to count. ","")))</f>
        <v/>
      </c>
    </row>
    <row r="208" customFormat="false" ht="15" hidden="false" customHeight="false" outlineLevel="0" collapsed="false">
      <c r="A208" s="14"/>
      <c r="B208" s="14"/>
      <c r="C208" s="17"/>
      <c r="D208" s="17"/>
      <c r="E208" s="17"/>
      <c r="F208" s="17"/>
      <c r="G208" s="17"/>
      <c r="H208" s="17"/>
      <c r="I208" s="14"/>
      <c r="J208" s="14"/>
      <c r="K208" s="14"/>
      <c r="L208" s="14"/>
      <c r="M208" s="34" t="str">
        <f aca="false">IF(COUNT(C208:H208)=0,"",IFERROR(MAX(0,ROUND(IF(Settings!$B$33,IF(H208="",SUM(C208:G208),H208)-SUMPRODUCT(($C$4:$G$4="Y")*C208:G208),SUMPRODUCT(($C$4:$G$4="Y")*C208:G208)),0)),"Check inputs"))</f>
        <v/>
      </c>
      <c r="N208" s="35" t="str">
        <f aca="false">IF(AND(N($M208)&gt;0,UPPER($K208)&lt;&gt;"N"),IF(Settings!$B$28,MAX(0,MIN(Settings!$B$16,IF(I208="",Settings!$B$16,I208)))/Settings!$B$15,1),"")</f>
        <v/>
      </c>
      <c r="O208" s="35" t="str">
        <f aca="false">IF(AND(N($M208)&gt;0,UPPER($K208)&lt;&gt;"N"),IF(Settings!$B$28,MAX(0,MIN(Settings!$B$17,IF(J208="",Settings!$B$17,J208)))/Settings!$B$15,0),"")</f>
        <v/>
      </c>
      <c r="P208" s="34" t="str">
        <f aca="false">IF(N208="","",ROUND(IF(Settings!$B$27,MIN($M208,Settings!$B$29),$M208)*N208,0))</f>
        <v/>
      </c>
      <c r="Q208" s="34" t="str">
        <f aca="false">IF(N208="","",ROUND(IF(Settings!$B$27,MIN($M208,Settings!$B$30),$M208)*O208,0))</f>
        <v/>
      </c>
      <c r="R208" s="34" t="str">
        <f aca="false">IF(N208="","",P208+Q208)</f>
        <v/>
      </c>
      <c r="S208" s="34" t="str">
        <f aca="false">IF(N208="","",ROUND(MIN($M208,Settings!$B$29)*N208,0)+ROUND(MIN($M208,Settings!$B$30)*O208,0))</f>
        <v/>
      </c>
      <c r="T208" s="34" t="str">
        <f aca="false">IF(N208="","",IF(UPPER(L208)="N",0,S208))</f>
        <v/>
      </c>
      <c r="U208" s="25" t="str">
        <f aca="false">IF(N208="","",ROUND(R208*Settings!$B$18,0))</f>
        <v/>
      </c>
      <c r="V208" s="25" t="str">
        <f aca="false">IF(N208="","",ROUND(R208*Settings!$B$19,0)-X208)</f>
        <v/>
      </c>
      <c r="W208" s="25" t="str">
        <f aca="false">IF(N208="","",IF(Settings!$B$31,ROUND(R208*Settings!$B$22,0),0))</f>
        <v/>
      </c>
      <c r="X208" s="25" t="str">
        <f aca="false">IF(N208="","",MIN(ROUND(T208*Settings!$B$20,0),ROUND(R208*Settings!$B$19,0)))</f>
        <v/>
      </c>
      <c r="Y208" s="25" t="str">
        <f aca="false">IF(N208="","",IF(Settings!$B$31,ROUND(S208*Settings!$B$21,0),0))</f>
        <v/>
      </c>
      <c r="Z208" s="25" t="str">
        <f aca="false">IF(N208="","",U208+V208+X208+W208+Y208)</f>
        <v/>
      </c>
      <c r="AA208" s="7" t="str">
        <f aca="false">IF(COUNT(C208:H208)=0,"",TRIM(IF(UPPER(K208)="N","Not a PF member, skipped. ","")&amp;IF(AND(UPPER(K208)&lt;&gt;"N",N(M208)&lt;=0),"PF wage is zero, skipped. ","")&amp;IF(AND(UPPER(K208)&lt;&gt;"N",N(M208)&gt;0,UPPER(L208)="N"),"Pension not applicable, whole 12% goes to EPF. ","")&amp;IF(AND(ISNUMBER(H208),ABS(SUM(C208:G208)-N(H208))&gt;1),"Heads in the file add up to "&amp;SUM(C208:G208)&amp;", Gross is "&amp;H208&amp;" (a pay head may be missing). ","")&amp;IF(AND(Settings!$B$32,N(H208)&gt;0,ISNUMBER(M208),N(M208)&lt;H208*0.5-0.5),"50% check: PF wage is "&amp;TEXT(M208/H208,"0%")&amp;" of gross. ","")&amp;IF(AND(N(M208)&gt;0,UPPER(K208)&lt;&gt;"N",N(N208)+N(O208)=0),"No days to count. ","")))</f>
        <v/>
      </c>
    </row>
    <row r="209" customFormat="false" ht="15" hidden="false" customHeight="false" outlineLevel="0" collapsed="false">
      <c r="A209" s="14"/>
      <c r="B209" s="14"/>
      <c r="C209" s="17"/>
      <c r="D209" s="17"/>
      <c r="E209" s="17"/>
      <c r="F209" s="17"/>
      <c r="G209" s="17"/>
      <c r="H209" s="17"/>
      <c r="I209" s="14"/>
      <c r="J209" s="14"/>
      <c r="K209" s="14"/>
      <c r="L209" s="14"/>
      <c r="M209" s="34" t="str">
        <f aca="false">IF(COUNT(C209:H209)=0,"",IFERROR(MAX(0,ROUND(IF(Settings!$B$33,IF(H209="",SUM(C209:G209),H209)-SUMPRODUCT(($C$4:$G$4="Y")*C209:G209),SUMPRODUCT(($C$4:$G$4="Y")*C209:G209)),0)),"Check inputs"))</f>
        <v/>
      </c>
      <c r="N209" s="35" t="str">
        <f aca="false">IF(AND(N($M209)&gt;0,UPPER($K209)&lt;&gt;"N"),IF(Settings!$B$28,MAX(0,MIN(Settings!$B$16,IF(I209="",Settings!$B$16,I209)))/Settings!$B$15,1),"")</f>
        <v/>
      </c>
      <c r="O209" s="35" t="str">
        <f aca="false">IF(AND(N($M209)&gt;0,UPPER($K209)&lt;&gt;"N"),IF(Settings!$B$28,MAX(0,MIN(Settings!$B$17,IF(J209="",Settings!$B$17,J209)))/Settings!$B$15,0),"")</f>
        <v/>
      </c>
      <c r="P209" s="34" t="str">
        <f aca="false">IF(N209="","",ROUND(IF(Settings!$B$27,MIN($M209,Settings!$B$29),$M209)*N209,0))</f>
        <v/>
      </c>
      <c r="Q209" s="34" t="str">
        <f aca="false">IF(N209="","",ROUND(IF(Settings!$B$27,MIN($M209,Settings!$B$30),$M209)*O209,0))</f>
        <v/>
      </c>
      <c r="R209" s="34" t="str">
        <f aca="false">IF(N209="","",P209+Q209)</f>
        <v/>
      </c>
      <c r="S209" s="34" t="str">
        <f aca="false">IF(N209="","",ROUND(MIN($M209,Settings!$B$29)*N209,0)+ROUND(MIN($M209,Settings!$B$30)*O209,0))</f>
        <v/>
      </c>
      <c r="T209" s="34" t="str">
        <f aca="false">IF(N209="","",IF(UPPER(L209)="N",0,S209))</f>
        <v/>
      </c>
      <c r="U209" s="25" t="str">
        <f aca="false">IF(N209="","",ROUND(R209*Settings!$B$18,0))</f>
        <v/>
      </c>
      <c r="V209" s="25" t="str">
        <f aca="false">IF(N209="","",ROUND(R209*Settings!$B$19,0)-X209)</f>
        <v/>
      </c>
      <c r="W209" s="25" t="str">
        <f aca="false">IF(N209="","",IF(Settings!$B$31,ROUND(R209*Settings!$B$22,0),0))</f>
        <v/>
      </c>
      <c r="X209" s="25" t="str">
        <f aca="false">IF(N209="","",MIN(ROUND(T209*Settings!$B$20,0),ROUND(R209*Settings!$B$19,0)))</f>
        <v/>
      </c>
      <c r="Y209" s="25" t="str">
        <f aca="false">IF(N209="","",IF(Settings!$B$31,ROUND(S209*Settings!$B$21,0),0))</f>
        <v/>
      </c>
      <c r="Z209" s="25" t="str">
        <f aca="false">IF(N209="","",U209+V209+X209+W209+Y209)</f>
        <v/>
      </c>
      <c r="AA209" s="7" t="str">
        <f aca="false">IF(COUNT(C209:H209)=0,"",TRIM(IF(UPPER(K209)="N","Not a PF member, skipped. ","")&amp;IF(AND(UPPER(K209)&lt;&gt;"N",N(M209)&lt;=0),"PF wage is zero, skipped. ","")&amp;IF(AND(UPPER(K209)&lt;&gt;"N",N(M209)&gt;0,UPPER(L209)="N"),"Pension not applicable, whole 12% goes to EPF. ","")&amp;IF(AND(ISNUMBER(H209),ABS(SUM(C209:G209)-N(H209))&gt;1),"Heads in the file add up to "&amp;SUM(C209:G209)&amp;", Gross is "&amp;H209&amp;" (a pay head may be missing). ","")&amp;IF(AND(Settings!$B$32,N(H209)&gt;0,ISNUMBER(M209),N(M209)&lt;H209*0.5-0.5),"50% check: PF wage is "&amp;TEXT(M209/H209,"0%")&amp;" of gross. ","")&amp;IF(AND(N(M209)&gt;0,UPPER(K209)&lt;&gt;"N",N(N209)+N(O209)=0),"No days to count. ","")))</f>
        <v/>
      </c>
    </row>
    <row r="210" customFormat="false" ht="15" hidden="false" customHeight="false" outlineLevel="0" collapsed="false">
      <c r="A210" s="14"/>
      <c r="B210" s="14"/>
      <c r="C210" s="17"/>
      <c r="D210" s="17"/>
      <c r="E210" s="17"/>
      <c r="F210" s="17"/>
      <c r="G210" s="17"/>
      <c r="H210" s="17"/>
      <c r="I210" s="14"/>
      <c r="J210" s="14"/>
      <c r="K210" s="14"/>
      <c r="L210" s="14"/>
      <c r="M210" s="34" t="str">
        <f aca="false">IF(COUNT(C210:H210)=0,"",IFERROR(MAX(0,ROUND(IF(Settings!$B$33,IF(H210="",SUM(C210:G210),H210)-SUMPRODUCT(($C$4:$G$4="Y")*C210:G210),SUMPRODUCT(($C$4:$G$4="Y")*C210:G210)),0)),"Check inputs"))</f>
        <v/>
      </c>
      <c r="N210" s="35" t="str">
        <f aca="false">IF(AND(N($M210)&gt;0,UPPER($K210)&lt;&gt;"N"),IF(Settings!$B$28,MAX(0,MIN(Settings!$B$16,IF(I210="",Settings!$B$16,I210)))/Settings!$B$15,1),"")</f>
        <v/>
      </c>
      <c r="O210" s="35" t="str">
        <f aca="false">IF(AND(N($M210)&gt;0,UPPER($K210)&lt;&gt;"N"),IF(Settings!$B$28,MAX(0,MIN(Settings!$B$17,IF(J210="",Settings!$B$17,J210)))/Settings!$B$15,0),"")</f>
        <v/>
      </c>
      <c r="P210" s="34" t="str">
        <f aca="false">IF(N210="","",ROUND(IF(Settings!$B$27,MIN($M210,Settings!$B$29),$M210)*N210,0))</f>
        <v/>
      </c>
      <c r="Q210" s="34" t="str">
        <f aca="false">IF(N210="","",ROUND(IF(Settings!$B$27,MIN($M210,Settings!$B$30),$M210)*O210,0))</f>
        <v/>
      </c>
      <c r="R210" s="34" t="str">
        <f aca="false">IF(N210="","",P210+Q210)</f>
        <v/>
      </c>
      <c r="S210" s="34" t="str">
        <f aca="false">IF(N210="","",ROUND(MIN($M210,Settings!$B$29)*N210,0)+ROUND(MIN($M210,Settings!$B$30)*O210,0))</f>
        <v/>
      </c>
      <c r="T210" s="34" t="str">
        <f aca="false">IF(N210="","",IF(UPPER(L210)="N",0,S210))</f>
        <v/>
      </c>
      <c r="U210" s="25" t="str">
        <f aca="false">IF(N210="","",ROUND(R210*Settings!$B$18,0))</f>
        <v/>
      </c>
      <c r="V210" s="25" t="str">
        <f aca="false">IF(N210="","",ROUND(R210*Settings!$B$19,0)-X210)</f>
        <v/>
      </c>
      <c r="W210" s="25" t="str">
        <f aca="false">IF(N210="","",IF(Settings!$B$31,ROUND(R210*Settings!$B$22,0),0))</f>
        <v/>
      </c>
      <c r="X210" s="25" t="str">
        <f aca="false">IF(N210="","",MIN(ROUND(T210*Settings!$B$20,0),ROUND(R210*Settings!$B$19,0)))</f>
        <v/>
      </c>
      <c r="Y210" s="25" t="str">
        <f aca="false">IF(N210="","",IF(Settings!$B$31,ROUND(S210*Settings!$B$21,0),0))</f>
        <v/>
      </c>
      <c r="Z210" s="25" t="str">
        <f aca="false">IF(N210="","",U210+V210+X210+W210+Y210)</f>
        <v/>
      </c>
      <c r="AA210" s="7" t="str">
        <f aca="false">IF(COUNT(C210:H210)=0,"",TRIM(IF(UPPER(K210)="N","Not a PF member, skipped. ","")&amp;IF(AND(UPPER(K210)&lt;&gt;"N",N(M210)&lt;=0),"PF wage is zero, skipped. ","")&amp;IF(AND(UPPER(K210)&lt;&gt;"N",N(M210)&gt;0,UPPER(L210)="N"),"Pension not applicable, whole 12% goes to EPF. ","")&amp;IF(AND(ISNUMBER(H210),ABS(SUM(C210:G210)-N(H210))&gt;1),"Heads in the file add up to "&amp;SUM(C210:G210)&amp;", Gross is "&amp;H210&amp;" (a pay head may be missing). ","")&amp;IF(AND(Settings!$B$32,N(H210)&gt;0,ISNUMBER(M210),N(M210)&lt;H210*0.5-0.5),"50% check: PF wage is "&amp;TEXT(M210/H210,"0%")&amp;" of gross. ","")&amp;IF(AND(N(M210)&gt;0,UPPER(K210)&lt;&gt;"N",N(N210)+N(O210)=0),"No days to count. ","")))</f>
        <v/>
      </c>
    </row>
    <row r="211" customFormat="false" ht="15" hidden="false" customHeight="false" outlineLevel="0" collapsed="false">
      <c r="A211" s="14"/>
      <c r="B211" s="14"/>
      <c r="C211" s="17"/>
      <c r="D211" s="17"/>
      <c r="E211" s="17"/>
      <c r="F211" s="17"/>
      <c r="G211" s="17"/>
      <c r="H211" s="17"/>
      <c r="I211" s="14"/>
      <c r="J211" s="14"/>
      <c r="K211" s="14"/>
      <c r="L211" s="14"/>
      <c r="M211" s="34" t="str">
        <f aca="false">IF(COUNT(C211:H211)=0,"",IFERROR(MAX(0,ROUND(IF(Settings!$B$33,IF(H211="",SUM(C211:G211),H211)-SUMPRODUCT(($C$4:$G$4="Y")*C211:G211),SUMPRODUCT(($C$4:$G$4="Y")*C211:G211)),0)),"Check inputs"))</f>
        <v/>
      </c>
      <c r="N211" s="35" t="str">
        <f aca="false">IF(AND(N($M211)&gt;0,UPPER($K211)&lt;&gt;"N"),IF(Settings!$B$28,MAX(0,MIN(Settings!$B$16,IF(I211="",Settings!$B$16,I211)))/Settings!$B$15,1),"")</f>
        <v/>
      </c>
      <c r="O211" s="35" t="str">
        <f aca="false">IF(AND(N($M211)&gt;0,UPPER($K211)&lt;&gt;"N"),IF(Settings!$B$28,MAX(0,MIN(Settings!$B$17,IF(J211="",Settings!$B$17,J211)))/Settings!$B$15,0),"")</f>
        <v/>
      </c>
      <c r="P211" s="34" t="str">
        <f aca="false">IF(N211="","",ROUND(IF(Settings!$B$27,MIN($M211,Settings!$B$29),$M211)*N211,0))</f>
        <v/>
      </c>
      <c r="Q211" s="34" t="str">
        <f aca="false">IF(N211="","",ROUND(IF(Settings!$B$27,MIN($M211,Settings!$B$30),$M211)*O211,0))</f>
        <v/>
      </c>
      <c r="R211" s="34" t="str">
        <f aca="false">IF(N211="","",P211+Q211)</f>
        <v/>
      </c>
      <c r="S211" s="34" t="str">
        <f aca="false">IF(N211="","",ROUND(MIN($M211,Settings!$B$29)*N211,0)+ROUND(MIN($M211,Settings!$B$30)*O211,0))</f>
        <v/>
      </c>
      <c r="T211" s="34" t="str">
        <f aca="false">IF(N211="","",IF(UPPER(L211)="N",0,S211))</f>
        <v/>
      </c>
      <c r="U211" s="25" t="str">
        <f aca="false">IF(N211="","",ROUND(R211*Settings!$B$18,0))</f>
        <v/>
      </c>
      <c r="V211" s="25" t="str">
        <f aca="false">IF(N211="","",ROUND(R211*Settings!$B$19,0)-X211)</f>
        <v/>
      </c>
      <c r="W211" s="25" t="str">
        <f aca="false">IF(N211="","",IF(Settings!$B$31,ROUND(R211*Settings!$B$22,0),0))</f>
        <v/>
      </c>
      <c r="X211" s="25" t="str">
        <f aca="false">IF(N211="","",MIN(ROUND(T211*Settings!$B$20,0),ROUND(R211*Settings!$B$19,0)))</f>
        <v/>
      </c>
      <c r="Y211" s="25" t="str">
        <f aca="false">IF(N211="","",IF(Settings!$B$31,ROUND(S211*Settings!$B$21,0),0))</f>
        <v/>
      </c>
      <c r="Z211" s="25" t="str">
        <f aca="false">IF(N211="","",U211+V211+X211+W211+Y211)</f>
        <v/>
      </c>
      <c r="AA211" s="7" t="str">
        <f aca="false">IF(COUNT(C211:H211)=0,"",TRIM(IF(UPPER(K211)="N","Not a PF member, skipped. ","")&amp;IF(AND(UPPER(K211)&lt;&gt;"N",N(M211)&lt;=0),"PF wage is zero, skipped. ","")&amp;IF(AND(UPPER(K211)&lt;&gt;"N",N(M211)&gt;0,UPPER(L211)="N"),"Pension not applicable, whole 12% goes to EPF. ","")&amp;IF(AND(ISNUMBER(H211),ABS(SUM(C211:G211)-N(H211))&gt;1),"Heads in the file add up to "&amp;SUM(C211:G211)&amp;", Gross is "&amp;H211&amp;" (a pay head may be missing). ","")&amp;IF(AND(Settings!$B$32,N(H211)&gt;0,ISNUMBER(M211),N(M211)&lt;H211*0.5-0.5),"50% check: PF wage is "&amp;TEXT(M211/H211,"0%")&amp;" of gross. ","")&amp;IF(AND(N(M211)&gt;0,UPPER(K211)&lt;&gt;"N",N(N211)+N(O211)=0),"No days to count. ","")))</f>
        <v/>
      </c>
    </row>
    <row r="212" customFormat="false" ht="15" hidden="false" customHeight="false" outlineLevel="0" collapsed="false">
      <c r="A212" s="14"/>
      <c r="B212" s="14"/>
      <c r="C212" s="17"/>
      <c r="D212" s="17"/>
      <c r="E212" s="17"/>
      <c r="F212" s="17"/>
      <c r="G212" s="17"/>
      <c r="H212" s="17"/>
      <c r="I212" s="14"/>
      <c r="J212" s="14"/>
      <c r="K212" s="14"/>
      <c r="L212" s="14"/>
      <c r="M212" s="34" t="str">
        <f aca="false">IF(COUNT(C212:H212)=0,"",IFERROR(MAX(0,ROUND(IF(Settings!$B$33,IF(H212="",SUM(C212:G212),H212)-SUMPRODUCT(($C$4:$G$4="Y")*C212:G212),SUMPRODUCT(($C$4:$G$4="Y")*C212:G212)),0)),"Check inputs"))</f>
        <v/>
      </c>
      <c r="N212" s="35" t="str">
        <f aca="false">IF(AND(N($M212)&gt;0,UPPER($K212)&lt;&gt;"N"),IF(Settings!$B$28,MAX(0,MIN(Settings!$B$16,IF(I212="",Settings!$B$16,I212)))/Settings!$B$15,1),"")</f>
        <v/>
      </c>
      <c r="O212" s="35" t="str">
        <f aca="false">IF(AND(N($M212)&gt;0,UPPER($K212)&lt;&gt;"N"),IF(Settings!$B$28,MAX(0,MIN(Settings!$B$17,IF(J212="",Settings!$B$17,J212)))/Settings!$B$15,0),"")</f>
        <v/>
      </c>
      <c r="P212" s="34" t="str">
        <f aca="false">IF(N212="","",ROUND(IF(Settings!$B$27,MIN($M212,Settings!$B$29),$M212)*N212,0))</f>
        <v/>
      </c>
      <c r="Q212" s="34" t="str">
        <f aca="false">IF(N212="","",ROUND(IF(Settings!$B$27,MIN($M212,Settings!$B$30),$M212)*O212,0))</f>
        <v/>
      </c>
      <c r="R212" s="34" t="str">
        <f aca="false">IF(N212="","",P212+Q212)</f>
        <v/>
      </c>
      <c r="S212" s="34" t="str">
        <f aca="false">IF(N212="","",ROUND(MIN($M212,Settings!$B$29)*N212,0)+ROUND(MIN($M212,Settings!$B$30)*O212,0))</f>
        <v/>
      </c>
      <c r="T212" s="34" t="str">
        <f aca="false">IF(N212="","",IF(UPPER(L212)="N",0,S212))</f>
        <v/>
      </c>
      <c r="U212" s="25" t="str">
        <f aca="false">IF(N212="","",ROUND(R212*Settings!$B$18,0))</f>
        <v/>
      </c>
      <c r="V212" s="25" t="str">
        <f aca="false">IF(N212="","",ROUND(R212*Settings!$B$19,0)-X212)</f>
        <v/>
      </c>
      <c r="W212" s="25" t="str">
        <f aca="false">IF(N212="","",IF(Settings!$B$31,ROUND(R212*Settings!$B$22,0),0))</f>
        <v/>
      </c>
      <c r="X212" s="25" t="str">
        <f aca="false">IF(N212="","",MIN(ROUND(T212*Settings!$B$20,0),ROUND(R212*Settings!$B$19,0)))</f>
        <v/>
      </c>
      <c r="Y212" s="25" t="str">
        <f aca="false">IF(N212="","",IF(Settings!$B$31,ROUND(S212*Settings!$B$21,0),0))</f>
        <v/>
      </c>
      <c r="Z212" s="25" t="str">
        <f aca="false">IF(N212="","",U212+V212+X212+W212+Y212)</f>
        <v/>
      </c>
      <c r="AA212" s="7" t="str">
        <f aca="false">IF(COUNT(C212:H212)=0,"",TRIM(IF(UPPER(K212)="N","Not a PF member, skipped. ","")&amp;IF(AND(UPPER(K212)&lt;&gt;"N",N(M212)&lt;=0),"PF wage is zero, skipped. ","")&amp;IF(AND(UPPER(K212)&lt;&gt;"N",N(M212)&gt;0,UPPER(L212)="N"),"Pension not applicable, whole 12% goes to EPF. ","")&amp;IF(AND(ISNUMBER(H212),ABS(SUM(C212:G212)-N(H212))&gt;1),"Heads in the file add up to "&amp;SUM(C212:G212)&amp;", Gross is "&amp;H212&amp;" (a pay head may be missing). ","")&amp;IF(AND(Settings!$B$32,N(H212)&gt;0,ISNUMBER(M212),N(M212)&lt;H212*0.5-0.5),"50% check: PF wage is "&amp;TEXT(M212/H212,"0%")&amp;" of gross. ","")&amp;IF(AND(N(M212)&gt;0,UPPER(K212)&lt;&gt;"N",N(N212)+N(O212)=0),"No days to count. ","")))</f>
        <v/>
      </c>
    </row>
    <row r="213" customFormat="false" ht="15" hidden="false" customHeight="false" outlineLevel="0" collapsed="false">
      <c r="A213" s="14"/>
      <c r="B213" s="14"/>
      <c r="C213" s="17"/>
      <c r="D213" s="17"/>
      <c r="E213" s="17"/>
      <c r="F213" s="17"/>
      <c r="G213" s="17"/>
      <c r="H213" s="17"/>
      <c r="I213" s="14"/>
      <c r="J213" s="14"/>
      <c r="K213" s="14"/>
      <c r="L213" s="14"/>
      <c r="M213" s="34" t="str">
        <f aca="false">IF(COUNT(C213:H213)=0,"",IFERROR(MAX(0,ROUND(IF(Settings!$B$33,IF(H213="",SUM(C213:G213),H213)-SUMPRODUCT(($C$4:$G$4="Y")*C213:G213),SUMPRODUCT(($C$4:$G$4="Y")*C213:G213)),0)),"Check inputs"))</f>
        <v/>
      </c>
      <c r="N213" s="35" t="str">
        <f aca="false">IF(AND(N($M213)&gt;0,UPPER($K213)&lt;&gt;"N"),IF(Settings!$B$28,MAX(0,MIN(Settings!$B$16,IF(I213="",Settings!$B$16,I213)))/Settings!$B$15,1),"")</f>
        <v/>
      </c>
      <c r="O213" s="35" t="str">
        <f aca="false">IF(AND(N($M213)&gt;0,UPPER($K213)&lt;&gt;"N"),IF(Settings!$B$28,MAX(0,MIN(Settings!$B$17,IF(J213="",Settings!$B$17,J213)))/Settings!$B$15,0),"")</f>
        <v/>
      </c>
      <c r="P213" s="34" t="str">
        <f aca="false">IF(N213="","",ROUND(IF(Settings!$B$27,MIN($M213,Settings!$B$29),$M213)*N213,0))</f>
        <v/>
      </c>
      <c r="Q213" s="34" t="str">
        <f aca="false">IF(N213="","",ROUND(IF(Settings!$B$27,MIN($M213,Settings!$B$30),$M213)*O213,0))</f>
        <v/>
      </c>
      <c r="R213" s="34" t="str">
        <f aca="false">IF(N213="","",P213+Q213)</f>
        <v/>
      </c>
      <c r="S213" s="34" t="str">
        <f aca="false">IF(N213="","",ROUND(MIN($M213,Settings!$B$29)*N213,0)+ROUND(MIN($M213,Settings!$B$30)*O213,0))</f>
        <v/>
      </c>
      <c r="T213" s="34" t="str">
        <f aca="false">IF(N213="","",IF(UPPER(L213)="N",0,S213))</f>
        <v/>
      </c>
      <c r="U213" s="25" t="str">
        <f aca="false">IF(N213="","",ROUND(R213*Settings!$B$18,0))</f>
        <v/>
      </c>
      <c r="V213" s="25" t="str">
        <f aca="false">IF(N213="","",ROUND(R213*Settings!$B$19,0)-X213)</f>
        <v/>
      </c>
      <c r="W213" s="25" t="str">
        <f aca="false">IF(N213="","",IF(Settings!$B$31,ROUND(R213*Settings!$B$22,0),0))</f>
        <v/>
      </c>
      <c r="X213" s="25" t="str">
        <f aca="false">IF(N213="","",MIN(ROUND(T213*Settings!$B$20,0),ROUND(R213*Settings!$B$19,0)))</f>
        <v/>
      </c>
      <c r="Y213" s="25" t="str">
        <f aca="false">IF(N213="","",IF(Settings!$B$31,ROUND(S213*Settings!$B$21,0),0))</f>
        <v/>
      </c>
      <c r="Z213" s="25" t="str">
        <f aca="false">IF(N213="","",U213+V213+X213+W213+Y213)</f>
        <v/>
      </c>
      <c r="AA213" s="7" t="str">
        <f aca="false">IF(COUNT(C213:H213)=0,"",TRIM(IF(UPPER(K213)="N","Not a PF member, skipped. ","")&amp;IF(AND(UPPER(K213)&lt;&gt;"N",N(M213)&lt;=0),"PF wage is zero, skipped. ","")&amp;IF(AND(UPPER(K213)&lt;&gt;"N",N(M213)&gt;0,UPPER(L213)="N"),"Pension not applicable, whole 12% goes to EPF. ","")&amp;IF(AND(ISNUMBER(H213),ABS(SUM(C213:G213)-N(H213))&gt;1),"Heads in the file add up to "&amp;SUM(C213:G213)&amp;", Gross is "&amp;H213&amp;" (a pay head may be missing). ","")&amp;IF(AND(Settings!$B$32,N(H213)&gt;0,ISNUMBER(M213),N(M213)&lt;H213*0.5-0.5),"50% check: PF wage is "&amp;TEXT(M213/H213,"0%")&amp;" of gross. ","")&amp;IF(AND(N(M213)&gt;0,UPPER(K213)&lt;&gt;"N",N(N213)+N(O213)=0),"No days to count. ","")))</f>
        <v/>
      </c>
    </row>
    <row r="214" customFormat="false" ht="15" hidden="false" customHeight="false" outlineLevel="0" collapsed="false">
      <c r="A214" s="14"/>
      <c r="B214" s="14"/>
      <c r="C214" s="17"/>
      <c r="D214" s="17"/>
      <c r="E214" s="17"/>
      <c r="F214" s="17"/>
      <c r="G214" s="17"/>
      <c r="H214" s="17"/>
      <c r="I214" s="14"/>
      <c r="J214" s="14"/>
      <c r="K214" s="14"/>
      <c r="L214" s="14"/>
      <c r="M214" s="34" t="str">
        <f aca="false">IF(COUNT(C214:H214)=0,"",IFERROR(MAX(0,ROUND(IF(Settings!$B$33,IF(H214="",SUM(C214:G214),H214)-SUMPRODUCT(($C$4:$G$4="Y")*C214:G214),SUMPRODUCT(($C$4:$G$4="Y")*C214:G214)),0)),"Check inputs"))</f>
        <v/>
      </c>
      <c r="N214" s="35" t="str">
        <f aca="false">IF(AND(N($M214)&gt;0,UPPER($K214)&lt;&gt;"N"),IF(Settings!$B$28,MAX(0,MIN(Settings!$B$16,IF(I214="",Settings!$B$16,I214)))/Settings!$B$15,1),"")</f>
        <v/>
      </c>
      <c r="O214" s="35" t="str">
        <f aca="false">IF(AND(N($M214)&gt;0,UPPER($K214)&lt;&gt;"N"),IF(Settings!$B$28,MAX(0,MIN(Settings!$B$17,IF(J214="",Settings!$B$17,J214)))/Settings!$B$15,0),"")</f>
        <v/>
      </c>
      <c r="P214" s="34" t="str">
        <f aca="false">IF(N214="","",ROUND(IF(Settings!$B$27,MIN($M214,Settings!$B$29),$M214)*N214,0))</f>
        <v/>
      </c>
      <c r="Q214" s="34" t="str">
        <f aca="false">IF(N214="","",ROUND(IF(Settings!$B$27,MIN($M214,Settings!$B$30),$M214)*O214,0))</f>
        <v/>
      </c>
      <c r="R214" s="34" t="str">
        <f aca="false">IF(N214="","",P214+Q214)</f>
        <v/>
      </c>
      <c r="S214" s="34" t="str">
        <f aca="false">IF(N214="","",ROUND(MIN($M214,Settings!$B$29)*N214,0)+ROUND(MIN($M214,Settings!$B$30)*O214,0))</f>
        <v/>
      </c>
      <c r="T214" s="34" t="str">
        <f aca="false">IF(N214="","",IF(UPPER(L214)="N",0,S214))</f>
        <v/>
      </c>
      <c r="U214" s="25" t="str">
        <f aca="false">IF(N214="","",ROUND(R214*Settings!$B$18,0))</f>
        <v/>
      </c>
      <c r="V214" s="25" t="str">
        <f aca="false">IF(N214="","",ROUND(R214*Settings!$B$19,0)-X214)</f>
        <v/>
      </c>
      <c r="W214" s="25" t="str">
        <f aca="false">IF(N214="","",IF(Settings!$B$31,ROUND(R214*Settings!$B$22,0),0))</f>
        <v/>
      </c>
      <c r="X214" s="25" t="str">
        <f aca="false">IF(N214="","",MIN(ROUND(T214*Settings!$B$20,0),ROUND(R214*Settings!$B$19,0)))</f>
        <v/>
      </c>
      <c r="Y214" s="25" t="str">
        <f aca="false">IF(N214="","",IF(Settings!$B$31,ROUND(S214*Settings!$B$21,0),0))</f>
        <v/>
      </c>
      <c r="Z214" s="25" t="str">
        <f aca="false">IF(N214="","",U214+V214+X214+W214+Y214)</f>
        <v/>
      </c>
      <c r="AA214" s="7" t="str">
        <f aca="false">IF(COUNT(C214:H214)=0,"",TRIM(IF(UPPER(K214)="N","Not a PF member, skipped. ","")&amp;IF(AND(UPPER(K214)&lt;&gt;"N",N(M214)&lt;=0),"PF wage is zero, skipped. ","")&amp;IF(AND(UPPER(K214)&lt;&gt;"N",N(M214)&gt;0,UPPER(L214)="N"),"Pension not applicable, whole 12% goes to EPF. ","")&amp;IF(AND(ISNUMBER(H214),ABS(SUM(C214:G214)-N(H214))&gt;1),"Heads in the file add up to "&amp;SUM(C214:G214)&amp;", Gross is "&amp;H214&amp;" (a pay head may be missing). ","")&amp;IF(AND(Settings!$B$32,N(H214)&gt;0,ISNUMBER(M214),N(M214)&lt;H214*0.5-0.5),"50% check: PF wage is "&amp;TEXT(M214/H214,"0%")&amp;" of gross. ","")&amp;IF(AND(N(M214)&gt;0,UPPER(K214)&lt;&gt;"N",N(N214)+N(O214)=0),"No days to count. ","")))</f>
        <v/>
      </c>
    </row>
    <row r="215" customFormat="false" ht="15" hidden="false" customHeight="false" outlineLevel="0" collapsed="false">
      <c r="A215" s="14"/>
      <c r="B215" s="14"/>
      <c r="C215" s="17"/>
      <c r="D215" s="17"/>
      <c r="E215" s="17"/>
      <c r="F215" s="17"/>
      <c r="G215" s="17"/>
      <c r="H215" s="17"/>
      <c r="I215" s="14"/>
      <c r="J215" s="14"/>
      <c r="K215" s="14"/>
      <c r="L215" s="14"/>
      <c r="M215" s="34" t="str">
        <f aca="false">IF(COUNT(C215:H215)=0,"",IFERROR(MAX(0,ROUND(IF(Settings!$B$33,IF(H215="",SUM(C215:G215),H215)-SUMPRODUCT(($C$4:$G$4="Y")*C215:G215),SUMPRODUCT(($C$4:$G$4="Y")*C215:G215)),0)),"Check inputs"))</f>
        <v/>
      </c>
      <c r="N215" s="35" t="str">
        <f aca="false">IF(AND(N($M215)&gt;0,UPPER($K215)&lt;&gt;"N"),IF(Settings!$B$28,MAX(0,MIN(Settings!$B$16,IF(I215="",Settings!$B$16,I215)))/Settings!$B$15,1),"")</f>
        <v/>
      </c>
      <c r="O215" s="35" t="str">
        <f aca="false">IF(AND(N($M215)&gt;0,UPPER($K215)&lt;&gt;"N"),IF(Settings!$B$28,MAX(0,MIN(Settings!$B$17,IF(J215="",Settings!$B$17,J215)))/Settings!$B$15,0),"")</f>
        <v/>
      </c>
      <c r="P215" s="34" t="str">
        <f aca="false">IF(N215="","",ROUND(IF(Settings!$B$27,MIN($M215,Settings!$B$29),$M215)*N215,0))</f>
        <v/>
      </c>
      <c r="Q215" s="34" t="str">
        <f aca="false">IF(N215="","",ROUND(IF(Settings!$B$27,MIN($M215,Settings!$B$30),$M215)*O215,0))</f>
        <v/>
      </c>
      <c r="R215" s="34" t="str">
        <f aca="false">IF(N215="","",P215+Q215)</f>
        <v/>
      </c>
      <c r="S215" s="34" t="str">
        <f aca="false">IF(N215="","",ROUND(MIN($M215,Settings!$B$29)*N215,0)+ROUND(MIN($M215,Settings!$B$30)*O215,0))</f>
        <v/>
      </c>
      <c r="T215" s="34" t="str">
        <f aca="false">IF(N215="","",IF(UPPER(L215)="N",0,S215))</f>
        <v/>
      </c>
      <c r="U215" s="25" t="str">
        <f aca="false">IF(N215="","",ROUND(R215*Settings!$B$18,0))</f>
        <v/>
      </c>
      <c r="V215" s="25" t="str">
        <f aca="false">IF(N215="","",ROUND(R215*Settings!$B$19,0)-X215)</f>
        <v/>
      </c>
      <c r="W215" s="25" t="str">
        <f aca="false">IF(N215="","",IF(Settings!$B$31,ROUND(R215*Settings!$B$22,0),0))</f>
        <v/>
      </c>
      <c r="X215" s="25" t="str">
        <f aca="false">IF(N215="","",MIN(ROUND(T215*Settings!$B$20,0),ROUND(R215*Settings!$B$19,0)))</f>
        <v/>
      </c>
      <c r="Y215" s="25" t="str">
        <f aca="false">IF(N215="","",IF(Settings!$B$31,ROUND(S215*Settings!$B$21,0),0))</f>
        <v/>
      </c>
      <c r="Z215" s="25" t="str">
        <f aca="false">IF(N215="","",U215+V215+X215+W215+Y215)</f>
        <v/>
      </c>
      <c r="AA215" s="7" t="str">
        <f aca="false">IF(COUNT(C215:H215)=0,"",TRIM(IF(UPPER(K215)="N","Not a PF member, skipped. ","")&amp;IF(AND(UPPER(K215)&lt;&gt;"N",N(M215)&lt;=0),"PF wage is zero, skipped. ","")&amp;IF(AND(UPPER(K215)&lt;&gt;"N",N(M215)&gt;0,UPPER(L215)="N"),"Pension not applicable, whole 12% goes to EPF. ","")&amp;IF(AND(ISNUMBER(H215),ABS(SUM(C215:G215)-N(H215))&gt;1),"Heads in the file add up to "&amp;SUM(C215:G215)&amp;", Gross is "&amp;H215&amp;" (a pay head may be missing). ","")&amp;IF(AND(Settings!$B$32,N(H215)&gt;0,ISNUMBER(M215),N(M215)&lt;H215*0.5-0.5),"50% check: PF wage is "&amp;TEXT(M215/H215,"0%")&amp;" of gross. ","")&amp;IF(AND(N(M215)&gt;0,UPPER(K215)&lt;&gt;"N",N(N215)+N(O215)=0),"No days to count. ","")))</f>
        <v/>
      </c>
    </row>
    <row r="216" customFormat="false" ht="15" hidden="false" customHeight="false" outlineLevel="0" collapsed="false">
      <c r="A216" s="14"/>
      <c r="B216" s="14"/>
      <c r="C216" s="17"/>
      <c r="D216" s="17"/>
      <c r="E216" s="17"/>
      <c r="F216" s="17"/>
      <c r="G216" s="17"/>
      <c r="H216" s="17"/>
      <c r="I216" s="14"/>
      <c r="J216" s="14"/>
      <c r="K216" s="14"/>
      <c r="L216" s="14"/>
      <c r="M216" s="34" t="str">
        <f aca="false">IF(COUNT(C216:H216)=0,"",IFERROR(MAX(0,ROUND(IF(Settings!$B$33,IF(H216="",SUM(C216:G216),H216)-SUMPRODUCT(($C$4:$G$4="Y")*C216:G216),SUMPRODUCT(($C$4:$G$4="Y")*C216:G216)),0)),"Check inputs"))</f>
        <v/>
      </c>
      <c r="N216" s="35" t="str">
        <f aca="false">IF(AND(N($M216)&gt;0,UPPER($K216)&lt;&gt;"N"),IF(Settings!$B$28,MAX(0,MIN(Settings!$B$16,IF(I216="",Settings!$B$16,I216)))/Settings!$B$15,1),"")</f>
        <v/>
      </c>
      <c r="O216" s="35" t="str">
        <f aca="false">IF(AND(N($M216)&gt;0,UPPER($K216)&lt;&gt;"N"),IF(Settings!$B$28,MAX(0,MIN(Settings!$B$17,IF(J216="",Settings!$B$17,J216)))/Settings!$B$15,0),"")</f>
        <v/>
      </c>
      <c r="P216" s="34" t="str">
        <f aca="false">IF(N216="","",ROUND(IF(Settings!$B$27,MIN($M216,Settings!$B$29),$M216)*N216,0))</f>
        <v/>
      </c>
      <c r="Q216" s="34" t="str">
        <f aca="false">IF(N216="","",ROUND(IF(Settings!$B$27,MIN($M216,Settings!$B$30),$M216)*O216,0))</f>
        <v/>
      </c>
      <c r="R216" s="34" t="str">
        <f aca="false">IF(N216="","",P216+Q216)</f>
        <v/>
      </c>
      <c r="S216" s="34" t="str">
        <f aca="false">IF(N216="","",ROUND(MIN($M216,Settings!$B$29)*N216,0)+ROUND(MIN($M216,Settings!$B$30)*O216,0))</f>
        <v/>
      </c>
      <c r="T216" s="34" t="str">
        <f aca="false">IF(N216="","",IF(UPPER(L216)="N",0,S216))</f>
        <v/>
      </c>
      <c r="U216" s="25" t="str">
        <f aca="false">IF(N216="","",ROUND(R216*Settings!$B$18,0))</f>
        <v/>
      </c>
      <c r="V216" s="25" t="str">
        <f aca="false">IF(N216="","",ROUND(R216*Settings!$B$19,0)-X216)</f>
        <v/>
      </c>
      <c r="W216" s="25" t="str">
        <f aca="false">IF(N216="","",IF(Settings!$B$31,ROUND(R216*Settings!$B$22,0),0))</f>
        <v/>
      </c>
      <c r="X216" s="25" t="str">
        <f aca="false">IF(N216="","",MIN(ROUND(T216*Settings!$B$20,0),ROUND(R216*Settings!$B$19,0)))</f>
        <v/>
      </c>
      <c r="Y216" s="25" t="str">
        <f aca="false">IF(N216="","",IF(Settings!$B$31,ROUND(S216*Settings!$B$21,0),0))</f>
        <v/>
      </c>
      <c r="Z216" s="25" t="str">
        <f aca="false">IF(N216="","",U216+V216+X216+W216+Y216)</f>
        <v/>
      </c>
      <c r="AA216" s="7" t="str">
        <f aca="false">IF(COUNT(C216:H216)=0,"",TRIM(IF(UPPER(K216)="N","Not a PF member, skipped. ","")&amp;IF(AND(UPPER(K216)&lt;&gt;"N",N(M216)&lt;=0),"PF wage is zero, skipped. ","")&amp;IF(AND(UPPER(K216)&lt;&gt;"N",N(M216)&gt;0,UPPER(L216)="N"),"Pension not applicable, whole 12% goes to EPF. ","")&amp;IF(AND(ISNUMBER(H216),ABS(SUM(C216:G216)-N(H216))&gt;1),"Heads in the file add up to "&amp;SUM(C216:G216)&amp;", Gross is "&amp;H216&amp;" (a pay head may be missing). ","")&amp;IF(AND(Settings!$B$32,N(H216)&gt;0,ISNUMBER(M216),N(M216)&lt;H216*0.5-0.5),"50% check: PF wage is "&amp;TEXT(M216/H216,"0%")&amp;" of gross. ","")&amp;IF(AND(N(M216)&gt;0,UPPER(K216)&lt;&gt;"N",N(N216)+N(O216)=0),"No days to count. ","")))</f>
        <v/>
      </c>
    </row>
    <row r="217" customFormat="false" ht="15" hidden="false" customHeight="false" outlineLevel="0" collapsed="false">
      <c r="A217" s="14"/>
      <c r="B217" s="14"/>
      <c r="C217" s="17"/>
      <c r="D217" s="17"/>
      <c r="E217" s="17"/>
      <c r="F217" s="17"/>
      <c r="G217" s="17"/>
      <c r="H217" s="17"/>
      <c r="I217" s="14"/>
      <c r="J217" s="14"/>
      <c r="K217" s="14"/>
      <c r="L217" s="14"/>
      <c r="M217" s="34" t="str">
        <f aca="false">IF(COUNT(C217:H217)=0,"",IFERROR(MAX(0,ROUND(IF(Settings!$B$33,IF(H217="",SUM(C217:G217),H217)-SUMPRODUCT(($C$4:$G$4="Y")*C217:G217),SUMPRODUCT(($C$4:$G$4="Y")*C217:G217)),0)),"Check inputs"))</f>
        <v/>
      </c>
      <c r="N217" s="35" t="str">
        <f aca="false">IF(AND(N($M217)&gt;0,UPPER($K217)&lt;&gt;"N"),IF(Settings!$B$28,MAX(0,MIN(Settings!$B$16,IF(I217="",Settings!$B$16,I217)))/Settings!$B$15,1),"")</f>
        <v/>
      </c>
      <c r="O217" s="35" t="str">
        <f aca="false">IF(AND(N($M217)&gt;0,UPPER($K217)&lt;&gt;"N"),IF(Settings!$B$28,MAX(0,MIN(Settings!$B$17,IF(J217="",Settings!$B$17,J217)))/Settings!$B$15,0),"")</f>
        <v/>
      </c>
      <c r="P217" s="34" t="str">
        <f aca="false">IF(N217="","",ROUND(IF(Settings!$B$27,MIN($M217,Settings!$B$29),$M217)*N217,0))</f>
        <v/>
      </c>
      <c r="Q217" s="34" t="str">
        <f aca="false">IF(N217="","",ROUND(IF(Settings!$B$27,MIN($M217,Settings!$B$30),$M217)*O217,0))</f>
        <v/>
      </c>
      <c r="R217" s="34" t="str">
        <f aca="false">IF(N217="","",P217+Q217)</f>
        <v/>
      </c>
      <c r="S217" s="34" t="str">
        <f aca="false">IF(N217="","",ROUND(MIN($M217,Settings!$B$29)*N217,0)+ROUND(MIN($M217,Settings!$B$30)*O217,0))</f>
        <v/>
      </c>
      <c r="T217" s="34" t="str">
        <f aca="false">IF(N217="","",IF(UPPER(L217)="N",0,S217))</f>
        <v/>
      </c>
      <c r="U217" s="25" t="str">
        <f aca="false">IF(N217="","",ROUND(R217*Settings!$B$18,0))</f>
        <v/>
      </c>
      <c r="V217" s="25" t="str">
        <f aca="false">IF(N217="","",ROUND(R217*Settings!$B$19,0)-X217)</f>
        <v/>
      </c>
      <c r="W217" s="25" t="str">
        <f aca="false">IF(N217="","",IF(Settings!$B$31,ROUND(R217*Settings!$B$22,0),0))</f>
        <v/>
      </c>
      <c r="X217" s="25" t="str">
        <f aca="false">IF(N217="","",MIN(ROUND(T217*Settings!$B$20,0),ROUND(R217*Settings!$B$19,0)))</f>
        <v/>
      </c>
      <c r="Y217" s="25" t="str">
        <f aca="false">IF(N217="","",IF(Settings!$B$31,ROUND(S217*Settings!$B$21,0),0))</f>
        <v/>
      </c>
      <c r="Z217" s="25" t="str">
        <f aca="false">IF(N217="","",U217+V217+X217+W217+Y217)</f>
        <v/>
      </c>
      <c r="AA217" s="7" t="str">
        <f aca="false">IF(COUNT(C217:H217)=0,"",TRIM(IF(UPPER(K217)="N","Not a PF member, skipped. ","")&amp;IF(AND(UPPER(K217)&lt;&gt;"N",N(M217)&lt;=0),"PF wage is zero, skipped. ","")&amp;IF(AND(UPPER(K217)&lt;&gt;"N",N(M217)&gt;0,UPPER(L217)="N"),"Pension not applicable, whole 12% goes to EPF. ","")&amp;IF(AND(ISNUMBER(H217),ABS(SUM(C217:G217)-N(H217))&gt;1),"Heads in the file add up to "&amp;SUM(C217:G217)&amp;", Gross is "&amp;H217&amp;" (a pay head may be missing). ","")&amp;IF(AND(Settings!$B$32,N(H217)&gt;0,ISNUMBER(M217),N(M217)&lt;H217*0.5-0.5),"50% check: PF wage is "&amp;TEXT(M217/H217,"0%")&amp;" of gross. ","")&amp;IF(AND(N(M217)&gt;0,UPPER(K217)&lt;&gt;"N",N(N217)+N(O217)=0),"No days to count. ","")))</f>
        <v/>
      </c>
    </row>
    <row r="218" customFormat="false" ht="15" hidden="false" customHeight="false" outlineLevel="0" collapsed="false">
      <c r="A218" s="14"/>
      <c r="B218" s="14"/>
      <c r="C218" s="17"/>
      <c r="D218" s="17"/>
      <c r="E218" s="17"/>
      <c r="F218" s="17"/>
      <c r="G218" s="17"/>
      <c r="H218" s="17"/>
      <c r="I218" s="14"/>
      <c r="J218" s="14"/>
      <c r="K218" s="14"/>
      <c r="L218" s="14"/>
      <c r="M218" s="34" t="str">
        <f aca="false">IF(COUNT(C218:H218)=0,"",IFERROR(MAX(0,ROUND(IF(Settings!$B$33,IF(H218="",SUM(C218:G218),H218)-SUMPRODUCT(($C$4:$G$4="Y")*C218:G218),SUMPRODUCT(($C$4:$G$4="Y")*C218:G218)),0)),"Check inputs"))</f>
        <v/>
      </c>
      <c r="N218" s="35" t="str">
        <f aca="false">IF(AND(N($M218)&gt;0,UPPER($K218)&lt;&gt;"N"),IF(Settings!$B$28,MAX(0,MIN(Settings!$B$16,IF(I218="",Settings!$B$16,I218)))/Settings!$B$15,1),"")</f>
        <v/>
      </c>
      <c r="O218" s="35" t="str">
        <f aca="false">IF(AND(N($M218)&gt;0,UPPER($K218)&lt;&gt;"N"),IF(Settings!$B$28,MAX(0,MIN(Settings!$B$17,IF(J218="",Settings!$B$17,J218)))/Settings!$B$15,0),"")</f>
        <v/>
      </c>
      <c r="P218" s="34" t="str">
        <f aca="false">IF(N218="","",ROUND(IF(Settings!$B$27,MIN($M218,Settings!$B$29),$M218)*N218,0))</f>
        <v/>
      </c>
      <c r="Q218" s="34" t="str">
        <f aca="false">IF(N218="","",ROUND(IF(Settings!$B$27,MIN($M218,Settings!$B$30),$M218)*O218,0))</f>
        <v/>
      </c>
      <c r="R218" s="34" t="str">
        <f aca="false">IF(N218="","",P218+Q218)</f>
        <v/>
      </c>
      <c r="S218" s="34" t="str">
        <f aca="false">IF(N218="","",ROUND(MIN($M218,Settings!$B$29)*N218,0)+ROUND(MIN($M218,Settings!$B$30)*O218,0))</f>
        <v/>
      </c>
      <c r="T218" s="34" t="str">
        <f aca="false">IF(N218="","",IF(UPPER(L218)="N",0,S218))</f>
        <v/>
      </c>
      <c r="U218" s="25" t="str">
        <f aca="false">IF(N218="","",ROUND(R218*Settings!$B$18,0))</f>
        <v/>
      </c>
      <c r="V218" s="25" t="str">
        <f aca="false">IF(N218="","",ROUND(R218*Settings!$B$19,0)-X218)</f>
        <v/>
      </c>
      <c r="W218" s="25" t="str">
        <f aca="false">IF(N218="","",IF(Settings!$B$31,ROUND(R218*Settings!$B$22,0),0))</f>
        <v/>
      </c>
      <c r="X218" s="25" t="str">
        <f aca="false">IF(N218="","",MIN(ROUND(T218*Settings!$B$20,0),ROUND(R218*Settings!$B$19,0)))</f>
        <v/>
      </c>
      <c r="Y218" s="25" t="str">
        <f aca="false">IF(N218="","",IF(Settings!$B$31,ROUND(S218*Settings!$B$21,0),0))</f>
        <v/>
      </c>
      <c r="Z218" s="25" t="str">
        <f aca="false">IF(N218="","",U218+V218+X218+W218+Y218)</f>
        <v/>
      </c>
      <c r="AA218" s="7" t="str">
        <f aca="false">IF(COUNT(C218:H218)=0,"",TRIM(IF(UPPER(K218)="N","Not a PF member, skipped. ","")&amp;IF(AND(UPPER(K218)&lt;&gt;"N",N(M218)&lt;=0),"PF wage is zero, skipped. ","")&amp;IF(AND(UPPER(K218)&lt;&gt;"N",N(M218)&gt;0,UPPER(L218)="N"),"Pension not applicable, whole 12% goes to EPF. ","")&amp;IF(AND(ISNUMBER(H218),ABS(SUM(C218:G218)-N(H218))&gt;1),"Heads in the file add up to "&amp;SUM(C218:G218)&amp;", Gross is "&amp;H218&amp;" (a pay head may be missing). ","")&amp;IF(AND(Settings!$B$32,N(H218)&gt;0,ISNUMBER(M218),N(M218)&lt;H218*0.5-0.5),"50% check: PF wage is "&amp;TEXT(M218/H218,"0%")&amp;" of gross. ","")&amp;IF(AND(N(M218)&gt;0,UPPER(K218)&lt;&gt;"N",N(N218)+N(O218)=0),"No days to count. ","")))</f>
        <v/>
      </c>
    </row>
    <row r="219" customFormat="false" ht="15" hidden="false" customHeight="false" outlineLevel="0" collapsed="false">
      <c r="A219" s="14"/>
      <c r="B219" s="14"/>
      <c r="C219" s="17"/>
      <c r="D219" s="17"/>
      <c r="E219" s="17"/>
      <c r="F219" s="17"/>
      <c r="G219" s="17"/>
      <c r="H219" s="17"/>
      <c r="I219" s="14"/>
      <c r="J219" s="14"/>
      <c r="K219" s="14"/>
      <c r="L219" s="14"/>
      <c r="M219" s="34" t="str">
        <f aca="false">IF(COUNT(C219:H219)=0,"",IFERROR(MAX(0,ROUND(IF(Settings!$B$33,IF(H219="",SUM(C219:G219),H219)-SUMPRODUCT(($C$4:$G$4="Y")*C219:G219),SUMPRODUCT(($C$4:$G$4="Y")*C219:G219)),0)),"Check inputs"))</f>
        <v/>
      </c>
      <c r="N219" s="35" t="str">
        <f aca="false">IF(AND(N($M219)&gt;0,UPPER($K219)&lt;&gt;"N"),IF(Settings!$B$28,MAX(0,MIN(Settings!$B$16,IF(I219="",Settings!$B$16,I219)))/Settings!$B$15,1),"")</f>
        <v/>
      </c>
      <c r="O219" s="35" t="str">
        <f aca="false">IF(AND(N($M219)&gt;0,UPPER($K219)&lt;&gt;"N"),IF(Settings!$B$28,MAX(0,MIN(Settings!$B$17,IF(J219="",Settings!$B$17,J219)))/Settings!$B$15,0),"")</f>
        <v/>
      </c>
      <c r="P219" s="34" t="str">
        <f aca="false">IF(N219="","",ROUND(IF(Settings!$B$27,MIN($M219,Settings!$B$29),$M219)*N219,0))</f>
        <v/>
      </c>
      <c r="Q219" s="34" t="str">
        <f aca="false">IF(N219="","",ROUND(IF(Settings!$B$27,MIN($M219,Settings!$B$30),$M219)*O219,0))</f>
        <v/>
      </c>
      <c r="R219" s="34" t="str">
        <f aca="false">IF(N219="","",P219+Q219)</f>
        <v/>
      </c>
      <c r="S219" s="34" t="str">
        <f aca="false">IF(N219="","",ROUND(MIN($M219,Settings!$B$29)*N219,0)+ROUND(MIN($M219,Settings!$B$30)*O219,0))</f>
        <v/>
      </c>
      <c r="T219" s="34" t="str">
        <f aca="false">IF(N219="","",IF(UPPER(L219)="N",0,S219))</f>
        <v/>
      </c>
      <c r="U219" s="25" t="str">
        <f aca="false">IF(N219="","",ROUND(R219*Settings!$B$18,0))</f>
        <v/>
      </c>
      <c r="V219" s="25" t="str">
        <f aca="false">IF(N219="","",ROUND(R219*Settings!$B$19,0)-X219)</f>
        <v/>
      </c>
      <c r="W219" s="25" t="str">
        <f aca="false">IF(N219="","",IF(Settings!$B$31,ROUND(R219*Settings!$B$22,0),0))</f>
        <v/>
      </c>
      <c r="X219" s="25" t="str">
        <f aca="false">IF(N219="","",MIN(ROUND(T219*Settings!$B$20,0),ROUND(R219*Settings!$B$19,0)))</f>
        <v/>
      </c>
      <c r="Y219" s="25" t="str">
        <f aca="false">IF(N219="","",IF(Settings!$B$31,ROUND(S219*Settings!$B$21,0),0))</f>
        <v/>
      </c>
      <c r="Z219" s="25" t="str">
        <f aca="false">IF(N219="","",U219+V219+X219+W219+Y219)</f>
        <v/>
      </c>
      <c r="AA219" s="7" t="str">
        <f aca="false">IF(COUNT(C219:H219)=0,"",TRIM(IF(UPPER(K219)="N","Not a PF member, skipped. ","")&amp;IF(AND(UPPER(K219)&lt;&gt;"N",N(M219)&lt;=0),"PF wage is zero, skipped. ","")&amp;IF(AND(UPPER(K219)&lt;&gt;"N",N(M219)&gt;0,UPPER(L219)="N"),"Pension not applicable, whole 12% goes to EPF. ","")&amp;IF(AND(ISNUMBER(H219),ABS(SUM(C219:G219)-N(H219))&gt;1),"Heads in the file add up to "&amp;SUM(C219:G219)&amp;", Gross is "&amp;H219&amp;" (a pay head may be missing). ","")&amp;IF(AND(Settings!$B$32,N(H219)&gt;0,ISNUMBER(M219),N(M219)&lt;H219*0.5-0.5),"50% check: PF wage is "&amp;TEXT(M219/H219,"0%")&amp;" of gross. ","")&amp;IF(AND(N(M219)&gt;0,UPPER(K219)&lt;&gt;"N",N(N219)+N(O219)=0),"No days to count. ","")))</f>
        <v/>
      </c>
    </row>
    <row r="220" customFormat="false" ht="15" hidden="false" customHeight="false" outlineLevel="0" collapsed="false">
      <c r="A220" s="14"/>
      <c r="B220" s="14"/>
      <c r="C220" s="17"/>
      <c r="D220" s="17"/>
      <c r="E220" s="17"/>
      <c r="F220" s="17"/>
      <c r="G220" s="17"/>
      <c r="H220" s="17"/>
      <c r="I220" s="14"/>
      <c r="J220" s="14"/>
      <c r="K220" s="14"/>
      <c r="L220" s="14"/>
      <c r="M220" s="34" t="str">
        <f aca="false">IF(COUNT(C220:H220)=0,"",IFERROR(MAX(0,ROUND(IF(Settings!$B$33,IF(H220="",SUM(C220:G220),H220)-SUMPRODUCT(($C$4:$G$4="Y")*C220:G220),SUMPRODUCT(($C$4:$G$4="Y")*C220:G220)),0)),"Check inputs"))</f>
        <v/>
      </c>
      <c r="N220" s="35" t="str">
        <f aca="false">IF(AND(N($M220)&gt;0,UPPER($K220)&lt;&gt;"N"),IF(Settings!$B$28,MAX(0,MIN(Settings!$B$16,IF(I220="",Settings!$B$16,I220)))/Settings!$B$15,1),"")</f>
        <v/>
      </c>
      <c r="O220" s="35" t="str">
        <f aca="false">IF(AND(N($M220)&gt;0,UPPER($K220)&lt;&gt;"N"),IF(Settings!$B$28,MAX(0,MIN(Settings!$B$17,IF(J220="",Settings!$B$17,J220)))/Settings!$B$15,0),"")</f>
        <v/>
      </c>
      <c r="P220" s="34" t="str">
        <f aca="false">IF(N220="","",ROUND(IF(Settings!$B$27,MIN($M220,Settings!$B$29),$M220)*N220,0))</f>
        <v/>
      </c>
      <c r="Q220" s="34" t="str">
        <f aca="false">IF(N220="","",ROUND(IF(Settings!$B$27,MIN($M220,Settings!$B$30),$M220)*O220,0))</f>
        <v/>
      </c>
      <c r="R220" s="34" t="str">
        <f aca="false">IF(N220="","",P220+Q220)</f>
        <v/>
      </c>
      <c r="S220" s="34" t="str">
        <f aca="false">IF(N220="","",ROUND(MIN($M220,Settings!$B$29)*N220,0)+ROUND(MIN($M220,Settings!$B$30)*O220,0))</f>
        <v/>
      </c>
      <c r="T220" s="34" t="str">
        <f aca="false">IF(N220="","",IF(UPPER(L220)="N",0,S220))</f>
        <v/>
      </c>
      <c r="U220" s="25" t="str">
        <f aca="false">IF(N220="","",ROUND(R220*Settings!$B$18,0))</f>
        <v/>
      </c>
      <c r="V220" s="25" t="str">
        <f aca="false">IF(N220="","",ROUND(R220*Settings!$B$19,0)-X220)</f>
        <v/>
      </c>
      <c r="W220" s="25" t="str">
        <f aca="false">IF(N220="","",IF(Settings!$B$31,ROUND(R220*Settings!$B$22,0),0))</f>
        <v/>
      </c>
      <c r="X220" s="25" t="str">
        <f aca="false">IF(N220="","",MIN(ROUND(T220*Settings!$B$20,0),ROUND(R220*Settings!$B$19,0)))</f>
        <v/>
      </c>
      <c r="Y220" s="25" t="str">
        <f aca="false">IF(N220="","",IF(Settings!$B$31,ROUND(S220*Settings!$B$21,0),0))</f>
        <v/>
      </c>
      <c r="Z220" s="25" t="str">
        <f aca="false">IF(N220="","",U220+V220+X220+W220+Y220)</f>
        <v/>
      </c>
      <c r="AA220" s="7" t="str">
        <f aca="false">IF(COUNT(C220:H220)=0,"",TRIM(IF(UPPER(K220)="N","Not a PF member, skipped. ","")&amp;IF(AND(UPPER(K220)&lt;&gt;"N",N(M220)&lt;=0),"PF wage is zero, skipped. ","")&amp;IF(AND(UPPER(K220)&lt;&gt;"N",N(M220)&gt;0,UPPER(L220)="N"),"Pension not applicable, whole 12% goes to EPF. ","")&amp;IF(AND(ISNUMBER(H220),ABS(SUM(C220:G220)-N(H220))&gt;1),"Heads in the file add up to "&amp;SUM(C220:G220)&amp;", Gross is "&amp;H220&amp;" (a pay head may be missing). ","")&amp;IF(AND(Settings!$B$32,N(H220)&gt;0,ISNUMBER(M220),N(M220)&lt;H220*0.5-0.5),"50% check: PF wage is "&amp;TEXT(M220/H220,"0%")&amp;" of gross. ","")&amp;IF(AND(N(M220)&gt;0,UPPER(K220)&lt;&gt;"N",N(N220)+N(O220)=0),"No days to count. ","")))</f>
        <v/>
      </c>
    </row>
    <row r="221" customFormat="false" ht="15" hidden="false" customHeight="false" outlineLevel="0" collapsed="false">
      <c r="A221" s="14"/>
      <c r="B221" s="14"/>
      <c r="C221" s="17"/>
      <c r="D221" s="17"/>
      <c r="E221" s="17"/>
      <c r="F221" s="17"/>
      <c r="G221" s="17"/>
      <c r="H221" s="17"/>
      <c r="I221" s="14"/>
      <c r="J221" s="14"/>
      <c r="K221" s="14"/>
      <c r="L221" s="14"/>
      <c r="M221" s="34" t="str">
        <f aca="false">IF(COUNT(C221:H221)=0,"",IFERROR(MAX(0,ROUND(IF(Settings!$B$33,IF(H221="",SUM(C221:G221),H221)-SUMPRODUCT(($C$4:$G$4="Y")*C221:G221),SUMPRODUCT(($C$4:$G$4="Y")*C221:G221)),0)),"Check inputs"))</f>
        <v/>
      </c>
      <c r="N221" s="35" t="str">
        <f aca="false">IF(AND(N($M221)&gt;0,UPPER($K221)&lt;&gt;"N"),IF(Settings!$B$28,MAX(0,MIN(Settings!$B$16,IF(I221="",Settings!$B$16,I221)))/Settings!$B$15,1),"")</f>
        <v/>
      </c>
      <c r="O221" s="35" t="str">
        <f aca="false">IF(AND(N($M221)&gt;0,UPPER($K221)&lt;&gt;"N"),IF(Settings!$B$28,MAX(0,MIN(Settings!$B$17,IF(J221="",Settings!$B$17,J221)))/Settings!$B$15,0),"")</f>
        <v/>
      </c>
      <c r="P221" s="34" t="str">
        <f aca="false">IF(N221="","",ROUND(IF(Settings!$B$27,MIN($M221,Settings!$B$29),$M221)*N221,0))</f>
        <v/>
      </c>
      <c r="Q221" s="34" t="str">
        <f aca="false">IF(N221="","",ROUND(IF(Settings!$B$27,MIN($M221,Settings!$B$30),$M221)*O221,0))</f>
        <v/>
      </c>
      <c r="R221" s="34" t="str">
        <f aca="false">IF(N221="","",P221+Q221)</f>
        <v/>
      </c>
      <c r="S221" s="34" t="str">
        <f aca="false">IF(N221="","",ROUND(MIN($M221,Settings!$B$29)*N221,0)+ROUND(MIN($M221,Settings!$B$30)*O221,0))</f>
        <v/>
      </c>
      <c r="T221" s="34" t="str">
        <f aca="false">IF(N221="","",IF(UPPER(L221)="N",0,S221))</f>
        <v/>
      </c>
      <c r="U221" s="25" t="str">
        <f aca="false">IF(N221="","",ROUND(R221*Settings!$B$18,0))</f>
        <v/>
      </c>
      <c r="V221" s="25" t="str">
        <f aca="false">IF(N221="","",ROUND(R221*Settings!$B$19,0)-X221)</f>
        <v/>
      </c>
      <c r="W221" s="25" t="str">
        <f aca="false">IF(N221="","",IF(Settings!$B$31,ROUND(R221*Settings!$B$22,0),0))</f>
        <v/>
      </c>
      <c r="X221" s="25" t="str">
        <f aca="false">IF(N221="","",MIN(ROUND(T221*Settings!$B$20,0),ROUND(R221*Settings!$B$19,0)))</f>
        <v/>
      </c>
      <c r="Y221" s="25" t="str">
        <f aca="false">IF(N221="","",IF(Settings!$B$31,ROUND(S221*Settings!$B$21,0),0))</f>
        <v/>
      </c>
      <c r="Z221" s="25" t="str">
        <f aca="false">IF(N221="","",U221+V221+X221+W221+Y221)</f>
        <v/>
      </c>
      <c r="AA221" s="7" t="str">
        <f aca="false">IF(COUNT(C221:H221)=0,"",TRIM(IF(UPPER(K221)="N","Not a PF member, skipped. ","")&amp;IF(AND(UPPER(K221)&lt;&gt;"N",N(M221)&lt;=0),"PF wage is zero, skipped. ","")&amp;IF(AND(UPPER(K221)&lt;&gt;"N",N(M221)&gt;0,UPPER(L221)="N"),"Pension not applicable, whole 12% goes to EPF. ","")&amp;IF(AND(ISNUMBER(H221),ABS(SUM(C221:G221)-N(H221))&gt;1),"Heads in the file add up to "&amp;SUM(C221:G221)&amp;", Gross is "&amp;H221&amp;" (a pay head may be missing). ","")&amp;IF(AND(Settings!$B$32,N(H221)&gt;0,ISNUMBER(M221),N(M221)&lt;H221*0.5-0.5),"50% check: PF wage is "&amp;TEXT(M221/H221,"0%")&amp;" of gross. ","")&amp;IF(AND(N(M221)&gt;0,UPPER(K221)&lt;&gt;"N",N(N221)+N(O221)=0),"No days to count. ","")))</f>
        <v/>
      </c>
    </row>
    <row r="222" customFormat="false" ht="15" hidden="false" customHeight="false" outlineLevel="0" collapsed="false">
      <c r="A222" s="14"/>
      <c r="B222" s="14"/>
      <c r="C222" s="17"/>
      <c r="D222" s="17"/>
      <c r="E222" s="17"/>
      <c r="F222" s="17"/>
      <c r="G222" s="17"/>
      <c r="H222" s="17"/>
      <c r="I222" s="14"/>
      <c r="J222" s="14"/>
      <c r="K222" s="14"/>
      <c r="L222" s="14"/>
      <c r="M222" s="34" t="str">
        <f aca="false">IF(COUNT(C222:H222)=0,"",IFERROR(MAX(0,ROUND(IF(Settings!$B$33,IF(H222="",SUM(C222:G222),H222)-SUMPRODUCT(($C$4:$G$4="Y")*C222:G222),SUMPRODUCT(($C$4:$G$4="Y")*C222:G222)),0)),"Check inputs"))</f>
        <v/>
      </c>
      <c r="N222" s="35" t="str">
        <f aca="false">IF(AND(N($M222)&gt;0,UPPER($K222)&lt;&gt;"N"),IF(Settings!$B$28,MAX(0,MIN(Settings!$B$16,IF(I222="",Settings!$B$16,I222)))/Settings!$B$15,1),"")</f>
        <v/>
      </c>
      <c r="O222" s="35" t="str">
        <f aca="false">IF(AND(N($M222)&gt;0,UPPER($K222)&lt;&gt;"N"),IF(Settings!$B$28,MAX(0,MIN(Settings!$B$17,IF(J222="",Settings!$B$17,J222)))/Settings!$B$15,0),"")</f>
        <v/>
      </c>
      <c r="P222" s="34" t="str">
        <f aca="false">IF(N222="","",ROUND(IF(Settings!$B$27,MIN($M222,Settings!$B$29),$M222)*N222,0))</f>
        <v/>
      </c>
      <c r="Q222" s="34" t="str">
        <f aca="false">IF(N222="","",ROUND(IF(Settings!$B$27,MIN($M222,Settings!$B$30),$M222)*O222,0))</f>
        <v/>
      </c>
      <c r="R222" s="34" t="str">
        <f aca="false">IF(N222="","",P222+Q222)</f>
        <v/>
      </c>
      <c r="S222" s="34" t="str">
        <f aca="false">IF(N222="","",ROUND(MIN($M222,Settings!$B$29)*N222,0)+ROUND(MIN($M222,Settings!$B$30)*O222,0))</f>
        <v/>
      </c>
      <c r="T222" s="34" t="str">
        <f aca="false">IF(N222="","",IF(UPPER(L222)="N",0,S222))</f>
        <v/>
      </c>
      <c r="U222" s="25" t="str">
        <f aca="false">IF(N222="","",ROUND(R222*Settings!$B$18,0))</f>
        <v/>
      </c>
      <c r="V222" s="25" t="str">
        <f aca="false">IF(N222="","",ROUND(R222*Settings!$B$19,0)-X222)</f>
        <v/>
      </c>
      <c r="W222" s="25" t="str">
        <f aca="false">IF(N222="","",IF(Settings!$B$31,ROUND(R222*Settings!$B$22,0),0))</f>
        <v/>
      </c>
      <c r="X222" s="25" t="str">
        <f aca="false">IF(N222="","",MIN(ROUND(T222*Settings!$B$20,0),ROUND(R222*Settings!$B$19,0)))</f>
        <v/>
      </c>
      <c r="Y222" s="25" t="str">
        <f aca="false">IF(N222="","",IF(Settings!$B$31,ROUND(S222*Settings!$B$21,0),0))</f>
        <v/>
      </c>
      <c r="Z222" s="25" t="str">
        <f aca="false">IF(N222="","",U222+V222+X222+W222+Y222)</f>
        <v/>
      </c>
      <c r="AA222" s="7" t="str">
        <f aca="false">IF(COUNT(C222:H222)=0,"",TRIM(IF(UPPER(K222)="N","Not a PF member, skipped. ","")&amp;IF(AND(UPPER(K222)&lt;&gt;"N",N(M222)&lt;=0),"PF wage is zero, skipped. ","")&amp;IF(AND(UPPER(K222)&lt;&gt;"N",N(M222)&gt;0,UPPER(L222)="N"),"Pension not applicable, whole 12% goes to EPF. ","")&amp;IF(AND(ISNUMBER(H222),ABS(SUM(C222:G222)-N(H222))&gt;1),"Heads in the file add up to "&amp;SUM(C222:G222)&amp;", Gross is "&amp;H222&amp;" (a pay head may be missing). ","")&amp;IF(AND(Settings!$B$32,N(H222)&gt;0,ISNUMBER(M222),N(M222)&lt;H222*0.5-0.5),"50% check: PF wage is "&amp;TEXT(M222/H222,"0%")&amp;" of gross. ","")&amp;IF(AND(N(M222)&gt;0,UPPER(K222)&lt;&gt;"N",N(N222)+N(O222)=0),"No days to count. ","")))</f>
        <v/>
      </c>
    </row>
    <row r="223" customFormat="false" ht="15" hidden="false" customHeight="false" outlineLevel="0" collapsed="false">
      <c r="A223" s="14"/>
      <c r="B223" s="14"/>
      <c r="C223" s="17"/>
      <c r="D223" s="17"/>
      <c r="E223" s="17"/>
      <c r="F223" s="17"/>
      <c r="G223" s="17"/>
      <c r="H223" s="17"/>
      <c r="I223" s="14"/>
      <c r="J223" s="14"/>
      <c r="K223" s="14"/>
      <c r="L223" s="14"/>
      <c r="M223" s="34" t="str">
        <f aca="false">IF(COUNT(C223:H223)=0,"",IFERROR(MAX(0,ROUND(IF(Settings!$B$33,IF(H223="",SUM(C223:G223),H223)-SUMPRODUCT(($C$4:$G$4="Y")*C223:G223),SUMPRODUCT(($C$4:$G$4="Y")*C223:G223)),0)),"Check inputs"))</f>
        <v/>
      </c>
      <c r="N223" s="35" t="str">
        <f aca="false">IF(AND(N($M223)&gt;0,UPPER($K223)&lt;&gt;"N"),IF(Settings!$B$28,MAX(0,MIN(Settings!$B$16,IF(I223="",Settings!$B$16,I223)))/Settings!$B$15,1),"")</f>
        <v/>
      </c>
      <c r="O223" s="35" t="str">
        <f aca="false">IF(AND(N($M223)&gt;0,UPPER($K223)&lt;&gt;"N"),IF(Settings!$B$28,MAX(0,MIN(Settings!$B$17,IF(J223="",Settings!$B$17,J223)))/Settings!$B$15,0),"")</f>
        <v/>
      </c>
      <c r="P223" s="34" t="str">
        <f aca="false">IF(N223="","",ROUND(IF(Settings!$B$27,MIN($M223,Settings!$B$29),$M223)*N223,0))</f>
        <v/>
      </c>
      <c r="Q223" s="34" t="str">
        <f aca="false">IF(N223="","",ROUND(IF(Settings!$B$27,MIN($M223,Settings!$B$30),$M223)*O223,0))</f>
        <v/>
      </c>
      <c r="R223" s="34" t="str">
        <f aca="false">IF(N223="","",P223+Q223)</f>
        <v/>
      </c>
      <c r="S223" s="34" t="str">
        <f aca="false">IF(N223="","",ROUND(MIN($M223,Settings!$B$29)*N223,0)+ROUND(MIN($M223,Settings!$B$30)*O223,0))</f>
        <v/>
      </c>
      <c r="T223" s="34" t="str">
        <f aca="false">IF(N223="","",IF(UPPER(L223)="N",0,S223))</f>
        <v/>
      </c>
      <c r="U223" s="25" t="str">
        <f aca="false">IF(N223="","",ROUND(R223*Settings!$B$18,0))</f>
        <v/>
      </c>
      <c r="V223" s="25" t="str">
        <f aca="false">IF(N223="","",ROUND(R223*Settings!$B$19,0)-X223)</f>
        <v/>
      </c>
      <c r="W223" s="25" t="str">
        <f aca="false">IF(N223="","",IF(Settings!$B$31,ROUND(R223*Settings!$B$22,0),0))</f>
        <v/>
      </c>
      <c r="X223" s="25" t="str">
        <f aca="false">IF(N223="","",MIN(ROUND(T223*Settings!$B$20,0),ROUND(R223*Settings!$B$19,0)))</f>
        <v/>
      </c>
      <c r="Y223" s="25" t="str">
        <f aca="false">IF(N223="","",IF(Settings!$B$31,ROUND(S223*Settings!$B$21,0),0))</f>
        <v/>
      </c>
      <c r="Z223" s="25" t="str">
        <f aca="false">IF(N223="","",U223+V223+X223+W223+Y223)</f>
        <v/>
      </c>
      <c r="AA223" s="7" t="str">
        <f aca="false">IF(COUNT(C223:H223)=0,"",TRIM(IF(UPPER(K223)="N","Not a PF member, skipped. ","")&amp;IF(AND(UPPER(K223)&lt;&gt;"N",N(M223)&lt;=0),"PF wage is zero, skipped. ","")&amp;IF(AND(UPPER(K223)&lt;&gt;"N",N(M223)&gt;0,UPPER(L223)="N"),"Pension not applicable, whole 12% goes to EPF. ","")&amp;IF(AND(ISNUMBER(H223),ABS(SUM(C223:G223)-N(H223))&gt;1),"Heads in the file add up to "&amp;SUM(C223:G223)&amp;", Gross is "&amp;H223&amp;" (a pay head may be missing). ","")&amp;IF(AND(Settings!$B$32,N(H223)&gt;0,ISNUMBER(M223),N(M223)&lt;H223*0.5-0.5),"50% check: PF wage is "&amp;TEXT(M223/H223,"0%")&amp;" of gross. ","")&amp;IF(AND(N(M223)&gt;0,UPPER(K223)&lt;&gt;"N",N(N223)+N(O223)=0),"No days to count. ","")))</f>
        <v/>
      </c>
    </row>
    <row r="224" customFormat="false" ht="15" hidden="false" customHeight="false" outlineLevel="0" collapsed="false">
      <c r="A224" s="14"/>
      <c r="B224" s="14"/>
      <c r="C224" s="17"/>
      <c r="D224" s="17"/>
      <c r="E224" s="17"/>
      <c r="F224" s="17"/>
      <c r="G224" s="17"/>
      <c r="H224" s="17"/>
      <c r="I224" s="14"/>
      <c r="J224" s="14"/>
      <c r="K224" s="14"/>
      <c r="L224" s="14"/>
      <c r="M224" s="34" t="str">
        <f aca="false">IF(COUNT(C224:H224)=0,"",IFERROR(MAX(0,ROUND(IF(Settings!$B$33,IF(H224="",SUM(C224:G224),H224)-SUMPRODUCT(($C$4:$G$4="Y")*C224:G224),SUMPRODUCT(($C$4:$G$4="Y")*C224:G224)),0)),"Check inputs"))</f>
        <v/>
      </c>
      <c r="N224" s="35" t="str">
        <f aca="false">IF(AND(N($M224)&gt;0,UPPER($K224)&lt;&gt;"N"),IF(Settings!$B$28,MAX(0,MIN(Settings!$B$16,IF(I224="",Settings!$B$16,I224)))/Settings!$B$15,1),"")</f>
        <v/>
      </c>
      <c r="O224" s="35" t="str">
        <f aca="false">IF(AND(N($M224)&gt;0,UPPER($K224)&lt;&gt;"N"),IF(Settings!$B$28,MAX(0,MIN(Settings!$B$17,IF(J224="",Settings!$B$17,J224)))/Settings!$B$15,0),"")</f>
        <v/>
      </c>
      <c r="P224" s="34" t="str">
        <f aca="false">IF(N224="","",ROUND(IF(Settings!$B$27,MIN($M224,Settings!$B$29),$M224)*N224,0))</f>
        <v/>
      </c>
      <c r="Q224" s="34" t="str">
        <f aca="false">IF(N224="","",ROUND(IF(Settings!$B$27,MIN($M224,Settings!$B$30),$M224)*O224,0))</f>
        <v/>
      </c>
      <c r="R224" s="34" t="str">
        <f aca="false">IF(N224="","",P224+Q224)</f>
        <v/>
      </c>
      <c r="S224" s="34" t="str">
        <f aca="false">IF(N224="","",ROUND(MIN($M224,Settings!$B$29)*N224,0)+ROUND(MIN($M224,Settings!$B$30)*O224,0))</f>
        <v/>
      </c>
      <c r="T224" s="34" t="str">
        <f aca="false">IF(N224="","",IF(UPPER(L224)="N",0,S224))</f>
        <v/>
      </c>
      <c r="U224" s="25" t="str">
        <f aca="false">IF(N224="","",ROUND(R224*Settings!$B$18,0))</f>
        <v/>
      </c>
      <c r="V224" s="25" t="str">
        <f aca="false">IF(N224="","",ROUND(R224*Settings!$B$19,0)-X224)</f>
        <v/>
      </c>
      <c r="W224" s="25" t="str">
        <f aca="false">IF(N224="","",IF(Settings!$B$31,ROUND(R224*Settings!$B$22,0),0))</f>
        <v/>
      </c>
      <c r="X224" s="25" t="str">
        <f aca="false">IF(N224="","",MIN(ROUND(T224*Settings!$B$20,0),ROUND(R224*Settings!$B$19,0)))</f>
        <v/>
      </c>
      <c r="Y224" s="25" t="str">
        <f aca="false">IF(N224="","",IF(Settings!$B$31,ROUND(S224*Settings!$B$21,0),0))</f>
        <v/>
      </c>
      <c r="Z224" s="25" t="str">
        <f aca="false">IF(N224="","",U224+V224+X224+W224+Y224)</f>
        <v/>
      </c>
      <c r="AA224" s="7" t="str">
        <f aca="false">IF(COUNT(C224:H224)=0,"",TRIM(IF(UPPER(K224)="N","Not a PF member, skipped. ","")&amp;IF(AND(UPPER(K224)&lt;&gt;"N",N(M224)&lt;=0),"PF wage is zero, skipped. ","")&amp;IF(AND(UPPER(K224)&lt;&gt;"N",N(M224)&gt;0,UPPER(L224)="N"),"Pension not applicable, whole 12% goes to EPF. ","")&amp;IF(AND(ISNUMBER(H224),ABS(SUM(C224:G224)-N(H224))&gt;1),"Heads in the file add up to "&amp;SUM(C224:G224)&amp;", Gross is "&amp;H224&amp;" (a pay head may be missing). ","")&amp;IF(AND(Settings!$B$32,N(H224)&gt;0,ISNUMBER(M224),N(M224)&lt;H224*0.5-0.5),"50% check: PF wage is "&amp;TEXT(M224/H224,"0%")&amp;" of gross. ","")&amp;IF(AND(N(M224)&gt;0,UPPER(K224)&lt;&gt;"N",N(N224)+N(O224)=0),"No days to count. ","")))</f>
        <v/>
      </c>
    </row>
    <row r="225" customFormat="false" ht="15" hidden="false" customHeight="false" outlineLevel="0" collapsed="false">
      <c r="A225" s="14"/>
      <c r="B225" s="14"/>
      <c r="C225" s="17"/>
      <c r="D225" s="17"/>
      <c r="E225" s="17"/>
      <c r="F225" s="17"/>
      <c r="G225" s="17"/>
      <c r="H225" s="17"/>
      <c r="I225" s="14"/>
      <c r="J225" s="14"/>
      <c r="K225" s="14"/>
      <c r="L225" s="14"/>
      <c r="M225" s="34" t="str">
        <f aca="false">IF(COUNT(C225:H225)=0,"",IFERROR(MAX(0,ROUND(IF(Settings!$B$33,IF(H225="",SUM(C225:G225),H225)-SUMPRODUCT(($C$4:$G$4="Y")*C225:G225),SUMPRODUCT(($C$4:$G$4="Y")*C225:G225)),0)),"Check inputs"))</f>
        <v/>
      </c>
      <c r="N225" s="35" t="str">
        <f aca="false">IF(AND(N($M225)&gt;0,UPPER($K225)&lt;&gt;"N"),IF(Settings!$B$28,MAX(0,MIN(Settings!$B$16,IF(I225="",Settings!$B$16,I225)))/Settings!$B$15,1),"")</f>
        <v/>
      </c>
      <c r="O225" s="35" t="str">
        <f aca="false">IF(AND(N($M225)&gt;0,UPPER($K225)&lt;&gt;"N"),IF(Settings!$B$28,MAX(0,MIN(Settings!$B$17,IF(J225="",Settings!$B$17,J225)))/Settings!$B$15,0),"")</f>
        <v/>
      </c>
      <c r="P225" s="34" t="str">
        <f aca="false">IF(N225="","",ROUND(IF(Settings!$B$27,MIN($M225,Settings!$B$29),$M225)*N225,0))</f>
        <v/>
      </c>
      <c r="Q225" s="34" t="str">
        <f aca="false">IF(N225="","",ROUND(IF(Settings!$B$27,MIN($M225,Settings!$B$30),$M225)*O225,0))</f>
        <v/>
      </c>
      <c r="R225" s="34" t="str">
        <f aca="false">IF(N225="","",P225+Q225)</f>
        <v/>
      </c>
      <c r="S225" s="34" t="str">
        <f aca="false">IF(N225="","",ROUND(MIN($M225,Settings!$B$29)*N225,0)+ROUND(MIN($M225,Settings!$B$30)*O225,0))</f>
        <v/>
      </c>
      <c r="T225" s="34" t="str">
        <f aca="false">IF(N225="","",IF(UPPER(L225)="N",0,S225))</f>
        <v/>
      </c>
      <c r="U225" s="25" t="str">
        <f aca="false">IF(N225="","",ROUND(R225*Settings!$B$18,0))</f>
        <v/>
      </c>
      <c r="V225" s="25" t="str">
        <f aca="false">IF(N225="","",ROUND(R225*Settings!$B$19,0)-X225)</f>
        <v/>
      </c>
      <c r="W225" s="25" t="str">
        <f aca="false">IF(N225="","",IF(Settings!$B$31,ROUND(R225*Settings!$B$22,0),0))</f>
        <v/>
      </c>
      <c r="X225" s="25" t="str">
        <f aca="false">IF(N225="","",MIN(ROUND(T225*Settings!$B$20,0),ROUND(R225*Settings!$B$19,0)))</f>
        <v/>
      </c>
      <c r="Y225" s="25" t="str">
        <f aca="false">IF(N225="","",IF(Settings!$B$31,ROUND(S225*Settings!$B$21,0),0))</f>
        <v/>
      </c>
      <c r="Z225" s="25" t="str">
        <f aca="false">IF(N225="","",U225+V225+X225+W225+Y225)</f>
        <v/>
      </c>
      <c r="AA225" s="7" t="str">
        <f aca="false">IF(COUNT(C225:H225)=0,"",TRIM(IF(UPPER(K225)="N","Not a PF member, skipped. ","")&amp;IF(AND(UPPER(K225)&lt;&gt;"N",N(M225)&lt;=0),"PF wage is zero, skipped. ","")&amp;IF(AND(UPPER(K225)&lt;&gt;"N",N(M225)&gt;0,UPPER(L225)="N"),"Pension not applicable, whole 12% goes to EPF. ","")&amp;IF(AND(ISNUMBER(H225),ABS(SUM(C225:G225)-N(H225))&gt;1),"Heads in the file add up to "&amp;SUM(C225:G225)&amp;", Gross is "&amp;H225&amp;" (a pay head may be missing). ","")&amp;IF(AND(Settings!$B$32,N(H225)&gt;0,ISNUMBER(M225),N(M225)&lt;H225*0.5-0.5),"50% check: PF wage is "&amp;TEXT(M225/H225,"0%")&amp;" of gross. ","")&amp;IF(AND(N(M225)&gt;0,UPPER(K225)&lt;&gt;"N",N(N225)+N(O225)=0),"No days to count. ","")))</f>
        <v/>
      </c>
    </row>
    <row r="226" customFormat="false" ht="15" hidden="false" customHeight="false" outlineLevel="0" collapsed="false">
      <c r="A226" s="14"/>
      <c r="B226" s="14"/>
      <c r="C226" s="17"/>
      <c r="D226" s="17"/>
      <c r="E226" s="17"/>
      <c r="F226" s="17"/>
      <c r="G226" s="17"/>
      <c r="H226" s="17"/>
      <c r="I226" s="14"/>
      <c r="J226" s="14"/>
      <c r="K226" s="14"/>
      <c r="L226" s="14"/>
      <c r="M226" s="34" t="str">
        <f aca="false">IF(COUNT(C226:H226)=0,"",IFERROR(MAX(0,ROUND(IF(Settings!$B$33,IF(H226="",SUM(C226:G226),H226)-SUMPRODUCT(($C$4:$G$4="Y")*C226:G226),SUMPRODUCT(($C$4:$G$4="Y")*C226:G226)),0)),"Check inputs"))</f>
        <v/>
      </c>
      <c r="N226" s="35" t="str">
        <f aca="false">IF(AND(N($M226)&gt;0,UPPER($K226)&lt;&gt;"N"),IF(Settings!$B$28,MAX(0,MIN(Settings!$B$16,IF(I226="",Settings!$B$16,I226)))/Settings!$B$15,1),"")</f>
        <v/>
      </c>
      <c r="O226" s="35" t="str">
        <f aca="false">IF(AND(N($M226)&gt;0,UPPER($K226)&lt;&gt;"N"),IF(Settings!$B$28,MAX(0,MIN(Settings!$B$17,IF(J226="",Settings!$B$17,J226)))/Settings!$B$15,0),"")</f>
        <v/>
      </c>
      <c r="P226" s="34" t="str">
        <f aca="false">IF(N226="","",ROUND(IF(Settings!$B$27,MIN($M226,Settings!$B$29),$M226)*N226,0))</f>
        <v/>
      </c>
      <c r="Q226" s="34" t="str">
        <f aca="false">IF(N226="","",ROUND(IF(Settings!$B$27,MIN($M226,Settings!$B$30),$M226)*O226,0))</f>
        <v/>
      </c>
      <c r="R226" s="34" t="str">
        <f aca="false">IF(N226="","",P226+Q226)</f>
        <v/>
      </c>
      <c r="S226" s="34" t="str">
        <f aca="false">IF(N226="","",ROUND(MIN($M226,Settings!$B$29)*N226,0)+ROUND(MIN($M226,Settings!$B$30)*O226,0))</f>
        <v/>
      </c>
      <c r="T226" s="34" t="str">
        <f aca="false">IF(N226="","",IF(UPPER(L226)="N",0,S226))</f>
        <v/>
      </c>
      <c r="U226" s="25" t="str">
        <f aca="false">IF(N226="","",ROUND(R226*Settings!$B$18,0))</f>
        <v/>
      </c>
      <c r="V226" s="25" t="str">
        <f aca="false">IF(N226="","",ROUND(R226*Settings!$B$19,0)-X226)</f>
        <v/>
      </c>
      <c r="W226" s="25" t="str">
        <f aca="false">IF(N226="","",IF(Settings!$B$31,ROUND(R226*Settings!$B$22,0),0))</f>
        <v/>
      </c>
      <c r="X226" s="25" t="str">
        <f aca="false">IF(N226="","",MIN(ROUND(T226*Settings!$B$20,0),ROUND(R226*Settings!$B$19,0)))</f>
        <v/>
      </c>
      <c r="Y226" s="25" t="str">
        <f aca="false">IF(N226="","",IF(Settings!$B$31,ROUND(S226*Settings!$B$21,0),0))</f>
        <v/>
      </c>
      <c r="Z226" s="25" t="str">
        <f aca="false">IF(N226="","",U226+V226+X226+W226+Y226)</f>
        <v/>
      </c>
      <c r="AA226" s="7" t="str">
        <f aca="false">IF(COUNT(C226:H226)=0,"",TRIM(IF(UPPER(K226)="N","Not a PF member, skipped. ","")&amp;IF(AND(UPPER(K226)&lt;&gt;"N",N(M226)&lt;=0),"PF wage is zero, skipped. ","")&amp;IF(AND(UPPER(K226)&lt;&gt;"N",N(M226)&gt;0,UPPER(L226)="N"),"Pension not applicable, whole 12% goes to EPF. ","")&amp;IF(AND(ISNUMBER(H226),ABS(SUM(C226:G226)-N(H226))&gt;1),"Heads in the file add up to "&amp;SUM(C226:G226)&amp;", Gross is "&amp;H226&amp;" (a pay head may be missing). ","")&amp;IF(AND(Settings!$B$32,N(H226)&gt;0,ISNUMBER(M226),N(M226)&lt;H226*0.5-0.5),"50% check: PF wage is "&amp;TEXT(M226/H226,"0%")&amp;" of gross. ","")&amp;IF(AND(N(M226)&gt;0,UPPER(K226)&lt;&gt;"N",N(N226)+N(O226)=0),"No days to count. ","")))</f>
        <v/>
      </c>
    </row>
    <row r="227" customFormat="false" ht="15" hidden="false" customHeight="false" outlineLevel="0" collapsed="false">
      <c r="A227" s="14"/>
      <c r="B227" s="14"/>
      <c r="C227" s="17"/>
      <c r="D227" s="17"/>
      <c r="E227" s="17"/>
      <c r="F227" s="17"/>
      <c r="G227" s="17"/>
      <c r="H227" s="17"/>
      <c r="I227" s="14"/>
      <c r="J227" s="14"/>
      <c r="K227" s="14"/>
      <c r="L227" s="14"/>
      <c r="M227" s="34" t="str">
        <f aca="false">IF(COUNT(C227:H227)=0,"",IFERROR(MAX(0,ROUND(IF(Settings!$B$33,IF(H227="",SUM(C227:G227),H227)-SUMPRODUCT(($C$4:$G$4="Y")*C227:G227),SUMPRODUCT(($C$4:$G$4="Y")*C227:G227)),0)),"Check inputs"))</f>
        <v/>
      </c>
      <c r="N227" s="35" t="str">
        <f aca="false">IF(AND(N($M227)&gt;0,UPPER($K227)&lt;&gt;"N"),IF(Settings!$B$28,MAX(0,MIN(Settings!$B$16,IF(I227="",Settings!$B$16,I227)))/Settings!$B$15,1),"")</f>
        <v/>
      </c>
      <c r="O227" s="35" t="str">
        <f aca="false">IF(AND(N($M227)&gt;0,UPPER($K227)&lt;&gt;"N"),IF(Settings!$B$28,MAX(0,MIN(Settings!$B$17,IF(J227="",Settings!$B$17,J227)))/Settings!$B$15,0),"")</f>
        <v/>
      </c>
      <c r="P227" s="34" t="str">
        <f aca="false">IF(N227="","",ROUND(IF(Settings!$B$27,MIN($M227,Settings!$B$29),$M227)*N227,0))</f>
        <v/>
      </c>
      <c r="Q227" s="34" t="str">
        <f aca="false">IF(N227="","",ROUND(IF(Settings!$B$27,MIN($M227,Settings!$B$30),$M227)*O227,0))</f>
        <v/>
      </c>
      <c r="R227" s="34" t="str">
        <f aca="false">IF(N227="","",P227+Q227)</f>
        <v/>
      </c>
      <c r="S227" s="34" t="str">
        <f aca="false">IF(N227="","",ROUND(MIN($M227,Settings!$B$29)*N227,0)+ROUND(MIN($M227,Settings!$B$30)*O227,0))</f>
        <v/>
      </c>
      <c r="T227" s="34" t="str">
        <f aca="false">IF(N227="","",IF(UPPER(L227)="N",0,S227))</f>
        <v/>
      </c>
      <c r="U227" s="25" t="str">
        <f aca="false">IF(N227="","",ROUND(R227*Settings!$B$18,0))</f>
        <v/>
      </c>
      <c r="V227" s="25" t="str">
        <f aca="false">IF(N227="","",ROUND(R227*Settings!$B$19,0)-X227)</f>
        <v/>
      </c>
      <c r="W227" s="25" t="str">
        <f aca="false">IF(N227="","",IF(Settings!$B$31,ROUND(R227*Settings!$B$22,0),0))</f>
        <v/>
      </c>
      <c r="X227" s="25" t="str">
        <f aca="false">IF(N227="","",MIN(ROUND(T227*Settings!$B$20,0),ROUND(R227*Settings!$B$19,0)))</f>
        <v/>
      </c>
      <c r="Y227" s="25" t="str">
        <f aca="false">IF(N227="","",IF(Settings!$B$31,ROUND(S227*Settings!$B$21,0),0))</f>
        <v/>
      </c>
      <c r="Z227" s="25" t="str">
        <f aca="false">IF(N227="","",U227+V227+X227+W227+Y227)</f>
        <v/>
      </c>
      <c r="AA227" s="7" t="str">
        <f aca="false">IF(COUNT(C227:H227)=0,"",TRIM(IF(UPPER(K227)="N","Not a PF member, skipped. ","")&amp;IF(AND(UPPER(K227)&lt;&gt;"N",N(M227)&lt;=0),"PF wage is zero, skipped. ","")&amp;IF(AND(UPPER(K227)&lt;&gt;"N",N(M227)&gt;0,UPPER(L227)="N"),"Pension not applicable, whole 12% goes to EPF. ","")&amp;IF(AND(ISNUMBER(H227),ABS(SUM(C227:G227)-N(H227))&gt;1),"Heads in the file add up to "&amp;SUM(C227:G227)&amp;", Gross is "&amp;H227&amp;" (a pay head may be missing). ","")&amp;IF(AND(Settings!$B$32,N(H227)&gt;0,ISNUMBER(M227),N(M227)&lt;H227*0.5-0.5),"50% check: PF wage is "&amp;TEXT(M227/H227,"0%")&amp;" of gross. ","")&amp;IF(AND(N(M227)&gt;0,UPPER(K227)&lt;&gt;"N",N(N227)+N(O227)=0),"No days to count. ","")))</f>
        <v/>
      </c>
    </row>
    <row r="228" customFormat="false" ht="15" hidden="false" customHeight="false" outlineLevel="0" collapsed="false">
      <c r="A228" s="14"/>
      <c r="B228" s="14"/>
      <c r="C228" s="17"/>
      <c r="D228" s="17"/>
      <c r="E228" s="17"/>
      <c r="F228" s="17"/>
      <c r="G228" s="17"/>
      <c r="H228" s="17"/>
      <c r="I228" s="14"/>
      <c r="J228" s="14"/>
      <c r="K228" s="14"/>
      <c r="L228" s="14"/>
      <c r="M228" s="34" t="str">
        <f aca="false">IF(COUNT(C228:H228)=0,"",IFERROR(MAX(0,ROUND(IF(Settings!$B$33,IF(H228="",SUM(C228:G228),H228)-SUMPRODUCT(($C$4:$G$4="Y")*C228:G228),SUMPRODUCT(($C$4:$G$4="Y")*C228:G228)),0)),"Check inputs"))</f>
        <v/>
      </c>
      <c r="N228" s="35" t="str">
        <f aca="false">IF(AND(N($M228)&gt;0,UPPER($K228)&lt;&gt;"N"),IF(Settings!$B$28,MAX(0,MIN(Settings!$B$16,IF(I228="",Settings!$B$16,I228)))/Settings!$B$15,1),"")</f>
        <v/>
      </c>
      <c r="O228" s="35" t="str">
        <f aca="false">IF(AND(N($M228)&gt;0,UPPER($K228)&lt;&gt;"N"),IF(Settings!$B$28,MAX(0,MIN(Settings!$B$17,IF(J228="",Settings!$B$17,J228)))/Settings!$B$15,0),"")</f>
        <v/>
      </c>
      <c r="P228" s="34" t="str">
        <f aca="false">IF(N228="","",ROUND(IF(Settings!$B$27,MIN($M228,Settings!$B$29),$M228)*N228,0))</f>
        <v/>
      </c>
      <c r="Q228" s="34" t="str">
        <f aca="false">IF(N228="","",ROUND(IF(Settings!$B$27,MIN($M228,Settings!$B$30),$M228)*O228,0))</f>
        <v/>
      </c>
      <c r="R228" s="34" t="str">
        <f aca="false">IF(N228="","",P228+Q228)</f>
        <v/>
      </c>
      <c r="S228" s="34" t="str">
        <f aca="false">IF(N228="","",ROUND(MIN($M228,Settings!$B$29)*N228,0)+ROUND(MIN($M228,Settings!$B$30)*O228,0))</f>
        <v/>
      </c>
      <c r="T228" s="34" t="str">
        <f aca="false">IF(N228="","",IF(UPPER(L228)="N",0,S228))</f>
        <v/>
      </c>
      <c r="U228" s="25" t="str">
        <f aca="false">IF(N228="","",ROUND(R228*Settings!$B$18,0))</f>
        <v/>
      </c>
      <c r="V228" s="25" t="str">
        <f aca="false">IF(N228="","",ROUND(R228*Settings!$B$19,0)-X228)</f>
        <v/>
      </c>
      <c r="W228" s="25" t="str">
        <f aca="false">IF(N228="","",IF(Settings!$B$31,ROUND(R228*Settings!$B$22,0),0))</f>
        <v/>
      </c>
      <c r="X228" s="25" t="str">
        <f aca="false">IF(N228="","",MIN(ROUND(T228*Settings!$B$20,0),ROUND(R228*Settings!$B$19,0)))</f>
        <v/>
      </c>
      <c r="Y228" s="25" t="str">
        <f aca="false">IF(N228="","",IF(Settings!$B$31,ROUND(S228*Settings!$B$21,0),0))</f>
        <v/>
      </c>
      <c r="Z228" s="25" t="str">
        <f aca="false">IF(N228="","",U228+V228+X228+W228+Y228)</f>
        <v/>
      </c>
      <c r="AA228" s="7" t="str">
        <f aca="false">IF(COUNT(C228:H228)=0,"",TRIM(IF(UPPER(K228)="N","Not a PF member, skipped. ","")&amp;IF(AND(UPPER(K228)&lt;&gt;"N",N(M228)&lt;=0),"PF wage is zero, skipped. ","")&amp;IF(AND(UPPER(K228)&lt;&gt;"N",N(M228)&gt;0,UPPER(L228)="N"),"Pension not applicable, whole 12% goes to EPF. ","")&amp;IF(AND(ISNUMBER(H228),ABS(SUM(C228:G228)-N(H228))&gt;1),"Heads in the file add up to "&amp;SUM(C228:G228)&amp;", Gross is "&amp;H228&amp;" (a pay head may be missing). ","")&amp;IF(AND(Settings!$B$32,N(H228)&gt;0,ISNUMBER(M228),N(M228)&lt;H228*0.5-0.5),"50% check: PF wage is "&amp;TEXT(M228/H228,"0%")&amp;" of gross. ","")&amp;IF(AND(N(M228)&gt;0,UPPER(K228)&lt;&gt;"N",N(N228)+N(O228)=0),"No days to count. ","")))</f>
        <v/>
      </c>
    </row>
    <row r="229" customFormat="false" ht="15" hidden="false" customHeight="false" outlineLevel="0" collapsed="false">
      <c r="A229" s="14"/>
      <c r="B229" s="14"/>
      <c r="C229" s="17"/>
      <c r="D229" s="17"/>
      <c r="E229" s="17"/>
      <c r="F229" s="17"/>
      <c r="G229" s="17"/>
      <c r="H229" s="17"/>
      <c r="I229" s="14"/>
      <c r="J229" s="14"/>
      <c r="K229" s="14"/>
      <c r="L229" s="14"/>
      <c r="M229" s="34" t="str">
        <f aca="false">IF(COUNT(C229:H229)=0,"",IFERROR(MAX(0,ROUND(IF(Settings!$B$33,IF(H229="",SUM(C229:G229),H229)-SUMPRODUCT(($C$4:$G$4="Y")*C229:G229),SUMPRODUCT(($C$4:$G$4="Y")*C229:G229)),0)),"Check inputs"))</f>
        <v/>
      </c>
      <c r="N229" s="35" t="str">
        <f aca="false">IF(AND(N($M229)&gt;0,UPPER($K229)&lt;&gt;"N"),IF(Settings!$B$28,MAX(0,MIN(Settings!$B$16,IF(I229="",Settings!$B$16,I229)))/Settings!$B$15,1),"")</f>
        <v/>
      </c>
      <c r="O229" s="35" t="str">
        <f aca="false">IF(AND(N($M229)&gt;0,UPPER($K229)&lt;&gt;"N"),IF(Settings!$B$28,MAX(0,MIN(Settings!$B$17,IF(J229="",Settings!$B$17,J229)))/Settings!$B$15,0),"")</f>
        <v/>
      </c>
      <c r="P229" s="34" t="str">
        <f aca="false">IF(N229="","",ROUND(IF(Settings!$B$27,MIN($M229,Settings!$B$29),$M229)*N229,0))</f>
        <v/>
      </c>
      <c r="Q229" s="34" t="str">
        <f aca="false">IF(N229="","",ROUND(IF(Settings!$B$27,MIN($M229,Settings!$B$30),$M229)*O229,0))</f>
        <v/>
      </c>
      <c r="R229" s="34" t="str">
        <f aca="false">IF(N229="","",P229+Q229)</f>
        <v/>
      </c>
      <c r="S229" s="34" t="str">
        <f aca="false">IF(N229="","",ROUND(MIN($M229,Settings!$B$29)*N229,0)+ROUND(MIN($M229,Settings!$B$30)*O229,0))</f>
        <v/>
      </c>
      <c r="T229" s="34" t="str">
        <f aca="false">IF(N229="","",IF(UPPER(L229)="N",0,S229))</f>
        <v/>
      </c>
      <c r="U229" s="25" t="str">
        <f aca="false">IF(N229="","",ROUND(R229*Settings!$B$18,0))</f>
        <v/>
      </c>
      <c r="V229" s="25" t="str">
        <f aca="false">IF(N229="","",ROUND(R229*Settings!$B$19,0)-X229)</f>
        <v/>
      </c>
      <c r="W229" s="25" t="str">
        <f aca="false">IF(N229="","",IF(Settings!$B$31,ROUND(R229*Settings!$B$22,0),0))</f>
        <v/>
      </c>
      <c r="X229" s="25" t="str">
        <f aca="false">IF(N229="","",MIN(ROUND(T229*Settings!$B$20,0),ROUND(R229*Settings!$B$19,0)))</f>
        <v/>
      </c>
      <c r="Y229" s="25" t="str">
        <f aca="false">IF(N229="","",IF(Settings!$B$31,ROUND(S229*Settings!$B$21,0),0))</f>
        <v/>
      </c>
      <c r="Z229" s="25" t="str">
        <f aca="false">IF(N229="","",U229+V229+X229+W229+Y229)</f>
        <v/>
      </c>
      <c r="AA229" s="7" t="str">
        <f aca="false">IF(COUNT(C229:H229)=0,"",TRIM(IF(UPPER(K229)="N","Not a PF member, skipped. ","")&amp;IF(AND(UPPER(K229)&lt;&gt;"N",N(M229)&lt;=0),"PF wage is zero, skipped. ","")&amp;IF(AND(UPPER(K229)&lt;&gt;"N",N(M229)&gt;0,UPPER(L229)="N"),"Pension not applicable, whole 12% goes to EPF. ","")&amp;IF(AND(ISNUMBER(H229),ABS(SUM(C229:G229)-N(H229))&gt;1),"Heads in the file add up to "&amp;SUM(C229:G229)&amp;", Gross is "&amp;H229&amp;" (a pay head may be missing). ","")&amp;IF(AND(Settings!$B$32,N(H229)&gt;0,ISNUMBER(M229),N(M229)&lt;H229*0.5-0.5),"50% check: PF wage is "&amp;TEXT(M229/H229,"0%")&amp;" of gross. ","")&amp;IF(AND(N(M229)&gt;0,UPPER(K229)&lt;&gt;"N",N(N229)+N(O229)=0),"No days to count. ","")))</f>
        <v/>
      </c>
    </row>
    <row r="230" customFormat="false" ht="15" hidden="false" customHeight="false" outlineLevel="0" collapsed="false">
      <c r="A230" s="14"/>
      <c r="B230" s="14"/>
      <c r="C230" s="17"/>
      <c r="D230" s="17"/>
      <c r="E230" s="17"/>
      <c r="F230" s="17"/>
      <c r="G230" s="17"/>
      <c r="H230" s="17"/>
      <c r="I230" s="14"/>
      <c r="J230" s="14"/>
      <c r="K230" s="14"/>
      <c r="L230" s="14"/>
      <c r="M230" s="34" t="str">
        <f aca="false">IF(COUNT(C230:H230)=0,"",IFERROR(MAX(0,ROUND(IF(Settings!$B$33,IF(H230="",SUM(C230:G230),H230)-SUMPRODUCT(($C$4:$G$4="Y")*C230:G230),SUMPRODUCT(($C$4:$G$4="Y")*C230:G230)),0)),"Check inputs"))</f>
        <v/>
      </c>
      <c r="N230" s="35" t="str">
        <f aca="false">IF(AND(N($M230)&gt;0,UPPER($K230)&lt;&gt;"N"),IF(Settings!$B$28,MAX(0,MIN(Settings!$B$16,IF(I230="",Settings!$B$16,I230)))/Settings!$B$15,1),"")</f>
        <v/>
      </c>
      <c r="O230" s="35" t="str">
        <f aca="false">IF(AND(N($M230)&gt;0,UPPER($K230)&lt;&gt;"N"),IF(Settings!$B$28,MAX(0,MIN(Settings!$B$17,IF(J230="",Settings!$B$17,J230)))/Settings!$B$15,0),"")</f>
        <v/>
      </c>
      <c r="P230" s="34" t="str">
        <f aca="false">IF(N230="","",ROUND(IF(Settings!$B$27,MIN($M230,Settings!$B$29),$M230)*N230,0))</f>
        <v/>
      </c>
      <c r="Q230" s="34" t="str">
        <f aca="false">IF(N230="","",ROUND(IF(Settings!$B$27,MIN($M230,Settings!$B$30),$M230)*O230,0))</f>
        <v/>
      </c>
      <c r="R230" s="34" t="str">
        <f aca="false">IF(N230="","",P230+Q230)</f>
        <v/>
      </c>
      <c r="S230" s="34" t="str">
        <f aca="false">IF(N230="","",ROUND(MIN($M230,Settings!$B$29)*N230,0)+ROUND(MIN($M230,Settings!$B$30)*O230,0))</f>
        <v/>
      </c>
      <c r="T230" s="34" t="str">
        <f aca="false">IF(N230="","",IF(UPPER(L230)="N",0,S230))</f>
        <v/>
      </c>
      <c r="U230" s="25" t="str">
        <f aca="false">IF(N230="","",ROUND(R230*Settings!$B$18,0))</f>
        <v/>
      </c>
      <c r="V230" s="25" t="str">
        <f aca="false">IF(N230="","",ROUND(R230*Settings!$B$19,0)-X230)</f>
        <v/>
      </c>
      <c r="W230" s="25" t="str">
        <f aca="false">IF(N230="","",IF(Settings!$B$31,ROUND(R230*Settings!$B$22,0),0))</f>
        <v/>
      </c>
      <c r="X230" s="25" t="str">
        <f aca="false">IF(N230="","",MIN(ROUND(T230*Settings!$B$20,0),ROUND(R230*Settings!$B$19,0)))</f>
        <v/>
      </c>
      <c r="Y230" s="25" t="str">
        <f aca="false">IF(N230="","",IF(Settings!$B$31,ROUND(S230*Settings!$B$21,0),0))</f>
        <v/>
      </c>
      <c r="Z230" s="25" t="str">
        <f aca="false">IF(N230="","",U230+V230+X230+W230+Y230)</f>
        <v/>
      </c>
      <c r="AA230" s="7" t="str">
        <f aca="false">IF(COUNT(C230:H230)=0,"",TRIM(IF(UPPER(K230)="N","Not a PF member, skipped. ","")&amp;IF(AND(UPPER(K230)&lt;&gt;"N",N(M230)&lt;=0),"PF wage is zero, skipped. ","")&amp;IF(AND(UPPER(K230)&lt;&gt;"N",N(M230)&gt;0,UPPER(L230)="N"),"Pension not applicable, whole 12% goes to EPF. ","")&amp;IF(AND(ISNUMBER(H230),ABS(SUM(C230:G230)-N(H230))&gt;1),"Heads in the file add up to "&amp;SUM(C230:G230)&amp;", Gross is "&amp;H230&amp;" (a pay head may be missing). ","")&amp;IF(AND(Settings!$B$32,N(H230)&gt;0,ISNUMBER(M230),N(M230)&lt;H230*0.5-0.5),"50% check: PF wage is "&amp;TEXT(M230/H230,"0%")&amp;" of gross. ","")&amp;IF(AND(N(M230)&gt;0,UPPER(K230)&lt;&gt;"N",N(N230)+N(O230)=0),"No days to count. ","")))</f>
        <v/>
      </c>
    </row>
    <row r="231" customFormat="false" ht="15" hidden="false" customHeight="false" outlineLevel="0" collapsed="false">
      <c r="A231" s="14"/>
      <c r="B231" s="14"/>
      <c r="C231" s="17"/>
      <c r="D231" s="17"/>
      <c r="E231" s="17"/>
      <c r="F231" s="17"/>
      <c r="G231" s="17"/>
      <c r="H231" s="17"/>
      <c r="I231" s="14"/>
      <c r="J231" s="14"/>
      <c r="K231" s="14"/>
      <c r="L231" s="14"/>
      <c r="M231" s="34" t="str">
        <f aca="false">IF(COUNT(C231:H231)=0,"",IFERROR(MAX(0,ROUND(IF(Settings!$B$33,IF(H231="",SUM(C231:G231),H231)-SUMPRODUCT(($C$4:$G$4="Y")*C231:G231),SUMPRODUCT(($C$4:$G$4="Y")*C231:G231)),0)),"Check inputs"))</f>
        <v/>
      </c>
      <c r="N231" s="35" t="str">
        <f aca="false">IF(AND(N($M231)&gt;0,UPPER($K231)&lt;&gt;"N"),IF(Settings!$B$28,MAX(0,MIN(Settings!$B$16,IF(I231="",Settings!$B$16,I231)))/Settings!$B$15,1),"")</f>
        <v/>
      </c>
      <c r="O231" s="35" t="str">
        <f aca="false">IF(AND(N($M231)&gt;0,UPPER($K231)&lt;&gt;"N"),IF(Settings!$B$28,MAX(0,MIN(Settings!$B$17,IF(J231="",Settings!$B$17,J231)))/Settings!$B$15,0),"")</f>
        <v/>
      </c>
      <c r="P231" s="34" t="str">
        <f aca="false">IF(N231="","",ROUND(IF(Settings!$B$27,MIN($M231,Settings!$B$29),$M231)*N231,0))</f>
        <v/>
      </c>
      <c r="Q231" s="34" t="str">
        <f aca="false">IF(N231="","",ROUND(IF(Settings!$B$27,MIN($M231,Settings!$B$30),$M231)*O231,0))</f>
        <v/>
      </c>
      <c r="R231" s="34" t="str">
        <f aca="false">IF(N231="","",P231+Q231)</f>
        <v/>
      </c>
      <c r="S231" s="34" t="str">
        <f aca="false">IF(N231="","",ROUND(MIN($M231,Settings!$B$29)*N231,0)+ROUND(MIN($M231,Settings!$B$30)*O231,0))</f>
        <v/>
      </c>
      <c r="T231" s="34" t="str">
        <f aca="false">IF(N231="","",IF(UPPER(L231)="N",0,S231))</f>
        <v/>
      </c>
      <c r="U231" s="25" t="str">
        <f aca="false">IF(N231="","",ROUND(R231*Settings!$B$18,0))</f>
        <v/>
      </c>
      <c r="V231" s="25" t="str">
        <f aca="false">IF(N231="","",ROUND(R231*Settings!$B$19,0)-X231)</f>
        <v/>
      </c>
      <c r="W231" s="25" t="str">
        <f aca="false">IF(N231="","",IF(Settings!$B$31,ROUND(R231*Settings!$B$22,0),0))</f>
        <v/>
      </c>
      <c r="X231" s="25" t="str">
        <f aca="false">IF(N231="","",MIN(ROUND(T231*Settings!$B$20,0),ROUND(R231*Settings!$B$19,0)))</f>
        <v/>
      </c>
      <c r="Y231" s="25" t="str">
        <f aca="false">IF(N231="","",IF(Settings!$B$31,ROUND(S231*Settings!$B$21,0),0))</f>
        <v/>
      </c>
      <c r="Z231" s="25" t="str">
        <f aca="false">IF(N231="","",U231+V231+X231+W231+Y231)</f>
        <v/>
      </c>
      <c r="AA231" s="7" t="str">
        <f aca="false">IF(COUNT(C231:H231)=0,"",TRIM(IF(UPPER(K231)="N","Not a PF member, skipped. ","")&amp;IF(AND(UPPER(K231)&lt;&gt;"N",N(M231)&lt;=0),"PF wage is zero, skipped. ","")&amp;IF(AND(UPPER(K231)&lt;&gt;"N",N(M231)&gt;0,UPPER(L231)="N"),"Pension not applicable, whole 12% goes to EPF. ","")&amp;IF(AND(ISNUMBER(H231),ABS(SUM(C231:G231)-N(H231))&gt;1),"Heads in the file add up to "&amp;SUM(C231:G231)&amp;", Gross is "&amp;H231&amp;" (a pay head may be missing). ","")&amp;IF(AND(Settings!$B$32,N(H231)&gt;0,ISNUMBER(M231),N(M231)&lt;H231*0.5-0.5),"50% check: PF wage is "&amp;TEXT(M231/H231,"0%")&amp;" of gross. ","")&amp;IF(AND(N(M231)&gt;0,UPPER(K231)&lt;&gt;"N",N(N231)+N(O231)=0),"No days to count. ","")))</f>
        <v/>
      </c>
    </row>
    <row r="232" customFormat="false" ht="15" hidden="false" customHeight="false" outlineLevel="0" collapsed="false">
      <c r="A232" s="14"/>
      <c r="B232" s="14"/>
      <c r="C232" s="17"/>
      <c r="D232" s="17"/>
      <c r="E232" s="17"/>
      <c r="F232" s="17"/>
      <c r="G232" s="17"/>
      <c r="H232" s="17"/>
      <c r="I232" s="14"/>
      <c r="J232" s="14"/>
      <c r="K232" s="14"/>
      <c r="L232" s="14"/>
      <c r="M232" s="34" t="str">
        <f aca="false">IF(COUNT(C232:H232)=0,"",IFERROR(MAX(0,ROUND(IF(Settings!$B$33,IF(H232="",SUM(C232:G232),H232)-SUMPRODUCT(($C$4:$G$4="Y")*C232:G232),SUMPRODUCT(($C$4:$G$4="Y")*C232:G232)),0)),"Check inputs"))</f>
        <v/>
      </c>
      <c r="N232" s="35" t="str">
        <f aca="false">IF(AND(N($M232)&gt;0,UPPER($K232)&lt;&gt;"N"),IF(Settings!$B$28,MAX(0,MIN(Settings!$B$16,IF(I232="",Settings!$B$16,I232)))/Settings!$B$15,1),"")</f>
        <v/>
      </c>
      <c r="O232" s="35" t="str">
        <f aca="false">IF(AND(N($M232)&gt;0,UPPER($K232)&lt;&gt;"N"),IF(Settings!$B$28,MAX(0,MIN(Settings!$B$17,IF(J232="",Settings!$B$17,J232)))/Settings!$B$15,0),"")</f>
        <v/>
      </c>
      <c r="P232" s="34" t="str">
        <f aca="false">IF(N232="","",ROUND(IF(Settings!$B$27,MIN($M232,Settings!$B$29),$M232)*N232,0))</f>
        <v/>
      </c>
      <c r="Q232" s="34" t="str">
        <f aca="false">IF(N232="","",ROUND(IF(Settings!$B$27,MIN($M232,Settings!$B$30),$M232)*O232,0))</f>
        <v/>
      </c>
      <c r="R232" s="34" t="str">
        <f aca="false">IF(N232="","",P232+Q232)</f>
        <v/>
      </c>
      <c r="S232" s="34" t="str">
        <f aca="false">IF(N232="","",ROUND(MIN($M232,Settings!$B$29)*N232,0)+ROUND(MIN($M232,Settings!$B$30)*O232,0))</f>
        <v/>
      </c>
      <c r="T232" s="34" t="str">
        <f aca="false">IF(N232="","",IF(UPPER(L232)="N",0,S232))</f>
        <v/>
      </c>
      <c r="U232" s="25" t="str">
        <f aca="false">IF(N232="","",ROUND(R232*Settings!$B$18,0))</f>
        <v/>
      </c>
      <c r="V232" s="25" t="str">
        <f aca="false">IF(N232="","",ROUND(R232*Settings!$B$19,0)-X232)</f>
        <v/>
      </c>
      <c r="W232" s="25" t="str">
        <f aca="false">IF(N232="","",IF(Settings!$B$31,ROUND(R232*Settings!$B$22,0),0))</f>
        <v/>
      </c>
      <c r="X232" s="25" t="str">
        <f aca="false">IF(N232="","",MIN(ROUND(T232*Settings!$B$20,0),ROUND(R232*Settings!$B$19,0)))</f>
        <v/>
      </c>
      <c r="Y232" s="25" t="str">
        <f aca="false">IF(N232="","",IF(Settings!$B$31,ROUND(S232*Settings!$B$21,0),0))</f>
        <v/>
      </c>
      <c r="Z232" s="25" t="str">
        <f aca="false">IF(N232="","",U232+V232+X232+W232+Y232)</f>
        <v/>
      </c>
      <c r="AA232" s="7" t="str">
        <f aca="false">IF(COUNT(C232:H232)=0,"",TRIM(IF(UPPER(K232)="N","Not a PF member, skipped. ","")&amp;IF(AND(UPPER(K232)&lt;&gt;"N",N(M232)&lt;=0),"PF wage is zero, skipped. ","")&amp;IF(AND(UPPER(K232)&lt;&gt;"N",N(M232)&gt;0,UPPER(L232)="N"),"Pension not applicable, whole 12% goes to EPF. ","")&amp;IF(AND(ISNUMBER(H232),ABS(SUM(C232:G232)-N(H232))&gt;1),"Heads in the file add up to "&amp;SUM(C232:G232)&amp;", Gross is "&amp;H232&amp;" (a pay head may be missing). ","")&amp;IF(AND(Settings!$B$32,N(H232)&gt;0,ISNUMBER(M232),N(M232)&lt;H232*0.5-0.5),"50% check: PF wage is "&amp;TEXT(M232/H232,"0%")&amp;" of gross. ","")&amp;IF(AND(N(M232)&gt;0,UPPER(K232)&lt;&gt;"N",N(N232)+N(O232)=0),"No days to count. ","")))</f>
        <v/>
      </c>
    </row>
    <row r="233" customFormat="false" ht="15" hidden="false" customHeight="false" outlineLevel="0" collapsed="false">
      <c r="A233" s="14"/>
      <c r="B233" s="14"/>
      <c r="C233" s="17"/>
      <c r="D233" s="17"/>
      <c r="E233" s="17"/>
      <c r="F233" s="17"/>
      <c r="G233" s="17"/>
      <c r="H233" s="17"/>
      <c r="I233" s="14"/>
      <c r="J233" s="14"/>
      <c r="K233" s="14"/>
      <c r="L233" s="14"/>
      <c r="M233" s="34" t="str">
        <f aca="false">IF(COUNT(C233:H233)=0,"",IFERROR(MAX(0,ROUND(IF(Settings!$B$33,IF(H233="",SUM(C233:G233),H233)-SUMPRODUCT(($C$4:$G$4="Y")*C233:G233),SUMPRODUCT(($C$4:$G$4="Y")*C233:G233)),0)),"Check inputs"))</f>
        <v/>
      </c>
      <c r="N233" s="35" t="str">
        <f aca="false">IF(AND(N($M233)&gt;0,UPPER($K233)&lt;&gt;"N"),IF(Settings!$B$28,MAX(0,MIN(Settings!$B$16,IF(I233="",Settings!$B$16,I233)))/Settings!$B$15,1),"")</f>
        <v/>
      </c>
      <c r="O233" s="35" t="str">
        <f aca="false">IF(AND(N($M233)&gt;0,UPPER($K233)&lt;&gt;"N"),IF(Settings!$B$28,MAX(0,MIN(Settings!$B$17,IF(J233="",Settings!$B$17,J233)))/Settings!$B$15,0),"")</f>
        <v/>
      </c>
      <c r="P233" s="34" t="str">
        <f aca="false">IF(N233="","",ROUND(IF(Settings!$B$27,MIN($M233,Settings!$B$29),$M233)*N233,0))</f>
        <v/>
      </c>
      <c r="Q233" s="34" t="str">
        <f aca="false">IF(N233="","",ROUND(IF(Settings!$B$27,MIN($M233,Settings!$B$30),$M233)*O233,0))</f>
        <v/>
      </c>
      <c r="R233" s="34" t="str">
        <f aca="false">IF(N233="","",P233+Q233)</f>
        <v/>
      </c>
      <c r="S233" s="34" t="str">
        <f aca="false">IF(N233="","",ROUND(MIN($M233,Settings!$B$29)*N233,0)+ROUND(MIN($M233,Settings!$B$30)*O233,0))</f>
        <v/>
      </c>
      <c r="T233" s="34" t="str">
        <f aca="false">IF(N233="","",IF(UPPER(L233)="N",0,S233))</f>
        <v/>
      </c>
      <c r="U233" s="25" t="str">
        <f aca="false">IF(N233="","",ROUND(R233*Settings!$B$18,0))</f>
        <v/>
      </c>
      <c r="V233" s="25" t="str">
        <f aca="false">IF(N233="","",ROUND(R233*Settings!$B$19,0)-X233)</f>
        <v/>
      </c>
      <c r="W233" s="25" t="str">
        <f aca="false">IF(N233="","",IF(Settings!$B$31,ROUND(R233*Settings!$B$22,0),0))</f>
        <v/>
      </c>
      <c r="X233" s="25" t="str">
        <f aca="false">IF(N233="","",MIN(ROUND(T233*Settings!$B$20,0),ROUND(R233*Settings!$B$19,0)))</f>
        <v/>
      </c>
      <c r="Y233" s="25" t="str">
        <f aca="false">IF(N233="","",IF(Settings!$B$31,ROUND(S233*Settings!$B$21,0),0))</f>
        <v/>
      </c>
      <c r="Z233" s="25" t="str">
        <f aca="false">IF(N233="","",U233+V233+X233+W233+Y233)</f>
        <v/>
      </c>
      <c r="AA233" s="7" t="str">
        <f aca="false">IF(COUNT(C233:H233)=0,"",TRIM(IF(UPPER(K233)="N","Not a PF member, skipped. ","")&amp;IF(AND(UPPER(K233)&lt;&gt;"N",N(M233)&lt;=0),"PF wage is zero, skipped. ","")&amp;IF(AND(UPPER(K233)&lt;&gt;"N",N(M233)&gt;0,UPPER(L233)="N"),"Pension not applicable, whole 12% goes to EPF. ","")&amp;IF(AND(ISNUMBER(H233),ABS(SUM(C233:G233)-N(H233))&gt;1),"Heads in the file add up to "&amp;SUM(C233:G233)&amp;", Gross is "&amp;H233&amp;" (a pay head may be missing). ","")&amp;IF(AND(Settings!$B$32,N(H233)&gt;0,ISNUMBER(M233),N(M233)&lt;H233*0.5-0.5),"50% check: PF wage is "&amp;TEXT(M233/H233,"0%")&amp;" of gross. ","")&amp;IF(AND(N(M233)&gt;0,UPPER(K233)&lt;&gt;"N",N(N233)+N(O233)=0),"No days to count. ","")))</f>
        <v/>
      </c>
    </row>
    <row r="234" customFormat="false" ht="15" hidden="false" customHeight="false" outlineLevel="0" collapsed="false">
      <c r="A234" s="14"/>
      <c r="B234" s="14"/>
      <c r="C234" s="17"/>
      <c r="D234" s="17"/>
      <c r="E234" s="17"/>
      <c r="F234" s="17"/>
      <c r="G234" s="17"/>
      <c r="H234" s="17"/>
      <c r="I234" s="14"/>
      <c r="J234" s="14"/>
      <c r="K234" s="14"/>
      <c r="L234" s="14"/>
      <c r="M234" s="34" t="str">
        <f aca="false">IF(COUNT(C234:H234)=0,"",IFERROR(MAX(0,ROUND(IF(Settings!$B$33,IF(H234="",SUM(C234:G234),H234)-SUMPRODUCT(($C$4:$G$4="Y")*C234:G234),SUMPRODUCT(($C$4:$G$4="Y")*C234:G234)),0)),"Check inputs"))</f>
        <v/>
      </c>
      <c r="N234" s="35" t="str">
        <f aca="false">IF(AND(N($M234)&gt;0,UPPER($K234)&lt;&gt;"N"),IF(Settings!$B$28,MAX(0,MIN(Settings!$B$16,IF(I234="",Settings!$B$16,I234)))/Settings!$B$15,1),"")</f>
        <v/>
      </c>
      <c r="O234" s="35" t="str">
        <f aca="false">IF(AND(N($M234)&gt;0,UPPER($K234)&lt;&gt;"N"),IF(Settings!$B$28,MAX(0,MIN(Settings!$B$17,IF(J234="",Settings!$B$17,J234)))/Settings!$B$15,0),"")</f>
        <v/>
      </c>
      <c r="P234" s="34" t="str">
        <f aca="false">IF(N234="","",ROUND(IF(Settings!$B$27,MIN($M234,Settings!$B$29),$M234)*N234,0))</f>
        <v/>
      </c>
      <c r="Q234" s="34" t="str">
        <f aca="false">IF(N234="","",ROUND(IF(Settings!$B$27,MIN($M234,Settings!$B$30),$M234)*O234,0))</f>
        <v/>
      </c>
      <c r="R234" s="34" t="str">
        <f aca="false">IF(N234="","",P234+Q234)</f>
        <v/>
      </c>
      <c r="S234" s="34" t="str">
        <f aca="false">IF(N234="","",ROUND(MIN($M234,Settings!$B$29)*N234,0)+ROUND(MIN($M234,Settings!$B$30)*O234,0))</f>
        <v/>
      </c>
      <c r="T234" s="34" t="str">
        <f aca="false">IF(N234="","",IF(UPPER(L234)="N",0,S234))</f>
        <v/>
      </c>
      <c r="U234" s="25" t="str">
        <f aca="false">IF(N234="","",ROUND(R234*Settings!$B$18,0))</f>
        <v/>
      </c>
      <c r="V234" s="25" t="str">
        <f aca="false">IF(N234="","",ROUND(R234*Settings!$B$19,0)-X234)</f>
        <v/>
      </c>
      <c r="W234" s="25" t="str">
        <f aca="false">IF(N234="","",IF(Settings!$B$31,ROUND(R234*Settings!$B$22,0),0))</f>
        <v/>
      </c>
      <c r="X234" s="25" t="str">
        <f aca="false">IF(N234="","",MIN(ROUND(T234*Settings!$B$20,0),ROUND(R234*Settings!$B$19,0)))</f>
        <v/>
      </c>
      <c r="Y234" s="25" t="str">
        <f aca="false">IF(N234="","",IF(Settings!$B$31,ROUND(S234*Settings!$B$21,0),0))</f>
        <v/>
      </c>
      <c r="Z234" s="25" t="str">
        <f aca="false">IF(N234="","",U234+V234+X234+W234+Y234)</f>
        <v/>
      </c>
      <c r="AA234" s="7" t="str">
        <f aca="false">IF(COUNT(C234:H234)=0,"",TRIM(IF(UPPER(K234)="N","Not a PF member, skipped. ","")&amp;IF(AND(UPPER(K234)&lt;&gt;"N",N(M234)&lt;=0),"PF wage is zero, skipped. ","")&amp;IF(AND(UPPER(K234)&lt;&gt;"N",N(M234)&gt;0,UPPER(L234)="N"),"Pension not applicable, whole 12% goes to EPF. ","")&amp;IF(AND(ISNUMBER(H234),ABS(SUM(C234:G234)-N(H234))&gt;1),"Heads in the file add up to "&amp;SUM(C234:G234)&amp;", Gross is "&amp;H234&amp;" (a pay head may be missing). ","")&amp;IF(AND(Settings!$B$32,N(H234)&gt;0,ISNUMBER(M234),N(M234)&lt;H234*0.5-0.5),"50% check: PF wage is "&amp;TEXT(M234/H234,"0%")&amp;" of gross. ","")&amp;IF(AND(N(M234)&gt;0,UPPER(K234)&lt;&gt;"N",N(N234)+N(O234)=0),"No days to count. ","")))</f>
        <v/>
      </c>
    </row>
    <row r="235" customFormat="false" ht="15" hidden="false" customHeight="false" outlineLevel="0" collapsed="false">
      <c r="A235" s="14"/>
      <c r="B235" s="14"/>
      <c r="C235" s="17"/>
      <c r="D235" s="17"/>
      <c r="E235" s="17"/>
      <c r="F235" s="17"/>
      <c r="G235" s="17"/>
      <c r="H235" s="17"/>
      <c r="I235" s="14"/>
      <c r="J235" s="14"/>
      <c r="K235" s="14"/>
      <c r="L235" s="14"/>
      <c r="M235" s="34" t="str">
        <f aca="false">IF(COUNT(C235:H235)=0,"",IFERROR(MAX(0,ROUND(IF(Settings!$B$33,IF(H235="",SUM(C235:G235),H235)-SUMPRODUCT(($C$4:$G$4="Y")*C235:G235),SUMPRODUCT(($C$4:$G$4="Y")*C235:G235)),0)),"Check inputs"))</f>
        <v/>
      </c>
      <c r="N235" s="35" t="str">
        <f aca="false">IF(AND(N($M235)&gt;0,UPPER($K235)&lt;&gt;"N"),IF(Settings!$B$28,MAX(0,MIN(Settings!$B$16,IF(I235="",Settings!$B$16,I235)))/Settings!$B$15,1),"")</f>
        <v/>
      </c>
      <c r="O235" s="35" t="str">
        <f aca="false">IF(AND(N($M235)&gt;0,UPPER($K235)&lt;&gt;"N"),IF(Settings!$B$28,MAX(0,MIN(Settings!$B$17,IF(J235="",Settings!$B$17,J235)))/Settings!$B$15,0),"")</f>
        <v/>
      </c>
      <c r="P235" s="34" t="str">
        <f aca="false">IF(N235="","",ROUND(IF(Settings!$B$27,MIN($M235,Settings!$B$29),$M235)*N235,0))</f>
        <v/>
      </c>
      <c r="Q235" s="34" t="str">
        <f aca="false">IF(N235="","",ROUND(IF(Settings!$B$27,MIN($M235,Settings!$B$30),$M235)*O235,0))</f>
        <v/>
      </c>
      <c r="R235" s="34" t="str">
        <f aca="false">IF(N235="","",P235+Q235)</f>
        <v/>
      </c>
      <c r="S235" s="34" t="str">
        <f aca="false">IF(N235="","",ROUND(MIN($M235,Settings!$B$29)*N235,0)+ROUND(MIN($M235,Settings!$B$30)*O235,0))</f>
        <v/>
      </c>
      <c r="T235" s="34" t="str">
        <f aca="false">IF(N235="","",IF(UPPER(L235)="N",0,S235))</f>
        <v/>
      </c>
      <c r="U235" s="25" t="str">
        <f aca="false">IF(N235="","",ROUND(R235*Settings!$B$18,0))</f>
        <v/>
      </c>
      <c r="V235" s="25" t="str">
        <f aca="false">IF(N235="","",ROUND(R235*Settings!$B$19,0)-X235)</f>
        <v/>
      </c>
      <c r="W235" s="25" t="str">
        <f aca="false">IF(N235="","",IF(Settings!$B$31,ROUND(R235*Settings!$B$22,0),0))</f>
        <v/>
      </c>
      <c r="X235" s="25" t="str">
        <f aca="false">IF(N235="","",MIN(ROUND(T235*Settings!$B$20,0),ROUND(R235*Settings!$B$19,0)))</f>
        <v/>
      </c>
      <c r="Y235" s="25" t="str">
        <f aca="false">IF(N235="","",IF(Settings!$B$31,ROUND(S235*Settings!$B$21,0),0))</f>
        <v/>
      </c>
      <c r="Z235" s="25" t="str">
        <f aca="false">IF(N235="","",U235+V235+X235+W235+Y235)</f>
        <v/>
      </c>
      <c r="AA235" s="7" t="str">
        <f aca="false">IF(COUNT(C235:H235)=0,"",TRIM(IF(UPPER(K235)="N","Not a PF member, skipped. ","")&amp;IF(AND(UPPER(K235)&lt;&gt;"N",N(M235)&lt;=0),"PF wage is zero, skipped. ","")&amp;IF(AND(UPPER(K235)&lt;&gt;"N",N(M235)&gt;0,UPPER(L235)="N"),"Pension not applicable, whole 12% goes to EPF. ","")&amp;IF(AND(ISNUMBER(H235),ABS(SUM(C235:G235)-N(H235))&gt;1),"Heads in the file add up to "&amp;SUM(C235:G235)&amp;", Gross is "&amp;H235&amp;" (a pay head may be missing). ","")&amp;IF(AND(Settings!$B$32,N(H235)&gt;0,ISNUMBER(M235),N(M235)&lt;H235*0.5-0.5),"50% check: PF wage is "&amp;TEXT(M235/H235,"0%")&amp;" of gross. ","")&amp;IF(AND(N(M235)&gt;0,UPPER(K235)&lt;&gt;"N",N(N235)+N(O235)=0),"No days to count. ","")))</f>
        <v/>
      </c>
    </row>
    <row r="236" customFormat="false" ht="15" hidden="false" customHeight="false" outlineLevel="0" collapsed="false">
      <c r="A236" s="14"/>
      <c r="B236" s="14"/>
      <c r="C236" s="17"/>
      <c r="D236" s="17"/>
      <c r="E236" s="17"/>
      <c r="F236" s="17"/>
      <c r="G236" s="17"/>
      <c r="H236" s="17"/>
      <c r="I236" s="14"/>
      <c r="J236" s="14"/>
      <c r="K236" s="14"/>
      <c r="L236" s="14"/>
      <c r="M236" s="34" t="str">
        <f aca="false">IF(COUNT(C236:H236)=0,"",IFERROR(MAX(0,ROUND(IF(Settings!$B$33,IF(H236="",SUM(C236:G236),H236)-SUMPRODUCT(($C$4:$G$4="Y")*C236:G236),SUMPRODUCT(($C$4:$G$4="Y")*C236:G236)),0)),"Check inputs"))</f>
        <v/>
      </c>
      <c r="N236" s="35" t="str">
        <f aca="false">IF(AND(N($M236)&gt;0,UPPER($K236)&lt;&gt;"N"),IF(Settings!$B$28,MAX(0,MIN(Settings!$B$16,IF(I236="",Settings!$B$16,I236)))/Settings!$B$15,1),"")</f>
        <v/>
      </c>
      <c r="O236" s="35" t="str">
        <f aca="false">IF(AND(N($M236)&gt;0,UPPER($K236)&lt;&gt;"N"),IF(Settings!$B$28,MAX(0,MIN(Settings!$B$17,IF(J236="",Settings!$B$17,J236)))/Settings!$B$15,0),"")</f>
        <v/>
      </c>
      <c r="P236" s="34" t="str">
        <f aca="false">IF(N236="","",ROUND(IF(Settings!$B$27,MIN($M236,Settings!$B$29),$M236)*N236,0))</f>
        <v/>
      </c>
      <c r="Q236" s="34" t="str">
        <f aca="false">IF(N236="","",ROUND(IF(Settings!$B$27,MIN($M236,Settings!$B$30),$M236)*O236,0))</f>
        <v/>
      </c>
      <c r="R236" s="34" t="str">
        <f aca="false">IF(N236="","",P236+Q236)</f>
        <v/>
      </c>
      <c r="S236" s="34" t="str">
        <f aca="false">IF(N236="","",ROUND(MIN($M236,Settings!$B$29)*N236,0)+ROUND(MIN($M236,Settings!$B$30)*O236,0))</f>
        <v/>
      </c>
      <c r="T236" s="34" t="str">
        <f aca="false">IF(N236="","",IF(UPPER(L236)="N",0,S236))</f>
        <v/>
      </c>
      <c r="U236" s="25" t="str">
        <f aca="false">IF(N236="","",ROUND(R236*Settings!$B$18,0))</f>
        <v/>
      </c>
      <c r="V236" s="25" t="str">
        <f aca="false">IF(N236="","",ROUND(R236*Settings!$B$19,0)-X236)</f>
        <v/>
      </c>
      <c r="W236" s="25" t="str">
        <f aca="false">IF(N236="","",IF(Settings!$B$31,ROUND(R236*Settings!$B$22,0),0))</f>
        <v/>
      </c>
      <c r="X236" s="25" t="str">
        <f aca="false">IF(N236="","",MIN(ROUND(T236*Settings!$B$20,0),ROUND(R236*Settings!$B$19,0)))</f>
        <v/>
      </c>
      <c r="Y236" s="25" t="str">
        <f aca="false">IF(N236="","",IF(Settings!$B$31,ROUND(S236*Settings!$B$21,0),0))</f>
        <v/>
      </c>
      <c r="Z236" s="25" t="str">
        <f aca="false">IF(N236="","",U236+V236+X236+W236+Y236)</f>
        <v/>
      </c>
      <c r="AA236" s="7" t="str">
        <f aca="false">IF(COUNT(C236:H236)=0,"",TRIM(IF(UPPER(K236)="N","Not a PF member, skipped. ","")&amp;IF(AND(UPPER(K236)&lt;&gt;"N",N(M236)&lt;=0),"PF wage is zero, skipped. ","")&amp;IF(AND(UPPER(K236)&lt;&gt;"N",N(M236)&gt;0,UPPER(L236)="N"),"Pension not applicable, whole 12% goes to EPF. ","")&amp;IF(AND(ISNUMBER(H236),ABS(SUM(C236:G236)-N(H236))&gt;1),"Heads in the file add up to "&amp;SUM(C236:G236)&amp;", Gross is "&amp;H236&amp;" (a pay head may be missing). ","")&amp;IF(AND(Settings!$B$32,N(H236)&gt;0,ISNUMBER(M236),N(M236)&lt;H236*0.5-0.5),"50% check: PF wage is "&amp;TEXT(M236/H236,"0%")&amp;" of gross. ","")&amp;IF(AND(N(M236)&gt;0,UPPER(K236)&lt;&gt;"N",N(N236)+N(O236)=0),"No days to count. ","")))</f>
        <v/>
      </c>
    </row>
    <row r="237" customFormat="false" ht="15" hidden="false" customHeight="false" outlineLevel="0" collapsed="false">
      <c r="A237" s="14"/>
      <c r="B237" s="14"/>
      <c r="C237" s="17"/>
      <c r="D237" s="17"/>
      <c r="E237" s="17"/>
      <c r="F237" s="17"/>
      <c r="G237" s="17"/>
      <c r="H237" s="17"/>
      <c r="I237" s="14"/>
      <c r="J237" s="14"/>
      <c r="K237" s="14"/>
      <c r="L237" s="14"/>
      <c r="M237" s="34" t="str">
        <f aca="false">IF(COUNT(C237:H237)=0,"",IFERROR(MAX(0,ROUND(IF(Settings!$B$33,IF(H237="",SUM(C237:G237),H237)-SUMPRODUCT(($C$4:$G$4="Y")*C237:G237),SUMPRODUCT(($C$4:$G$4="Y")*C237:G237)),0)),"Check inputs"))</f>
        <v/>
      </c>
      <c r="N237" s="35" t="str">
        <f aca="false">IF(AND(N($M237)&gt;0,UPPER($K237)&lt;&gt;"N"),IF(Settings!$B$28,MAX(0,MIN(Settings!$B$16,IF(I237="",Settings!$B$16,I237)))/Settings!$B$15,1),"")</f>
        <v/>
      </c>
      <c r="O237" s="35" t="str">
        <f aca="false">IF(AND(N($M237)&gt;0,UPPER($K237)&lt;&gt;"N"),IF(Settings!$B$28,MAX(0,MIN(Settings!$B$17,IF(J237="",Settings!$B$17,J237)))/Settings!$B$15,0),"")</f>
        <v/>
      </c>
      <c r="P237" s="34" t="str">
        <f aca="false">IF(N237="","",ROUND(IF(Settings!$B$27,MIN($M237,Settings!$B$29),$M237)*N237,0))</f>
        <v/>
      </c>
      <c r="Q237" s="34" t="str">
        <f aca="false">IF(N237="","",ROUND(IF(Settings!$B$27,MIN($M237,Settings!$B$30),$M237)*O237,0))</f>
        <v/>
      </c>
      <c r="R237" s="34" t="str">
        <f aca="false">IF(N237="","",P237+Q237)</f>
        <v/>
      </c>
      <c r="S237" s="34" t="str">
        <f aca="false">IF(N237="","",ROUND(MIN($M237,Settings!$B$29)*N237,0)+ROUND(MIN($M237,Settings!$B$30)*O237,0))</f>
        <v/>
      </c>
      <c r="T237" s="34" t="str">
        <f aca="false">IF(N237="","",IF(UPPER(L237)="N",0,S237))</f>
        <v/>
      </c>
      <c r="U237" s="25" t="str">
        <f aca="false">IF(N237="","",ROUND(R237*Settings!$B$18,0))</f>
        <v/>
      </c>
      <c r="V237" s="25" t="str">
        <f aca="false">IF(N237="","",ROUND(R237*Settings!$B$19,0)-X237)</f>
        <v/>
      </c>
      <c r="W237" s="25" t="str">
        <f aca="false">IF(N237="","",IF(Settings!$B$31,ROUND(R237*Settings!$B$22,0),0))</f>
        <v/>
      </c>
      <c r="X237" s="25" t="str">
        <f aca="false">IF(N237="","",MIN(ROUND(T237*Settings!$B$20,0),ROUND(R237*Settings!$B$19,0)))</f>
        <v/>
      </c>
      <c r="Y237" s="25" t="str">
        <f aca="false">IF(N237="","",IF(Settings!$B$31,ROUND(S237*Settings!$B$21,0),0))</f>
        <v/>
      </c>
      <c r="Z237" s="25" t="str">
        <f aca="false">IF(N237="","",U237+V237+X237+W237+Y237)</f>
        <v/>
      </c>
      <c r="AA237" s="7" t="str">
        <f aca="false">IF(COUNT(C237:H237)=0,"",TRIM(IF(UPPER(K237)="N","Not a PF member, skipped. ","")&amp;IF(AND(UPPER(K237)&lt;&gt;"N",N(M237)&lt;=0),"PF wage is zero, skipped. ","")&amp;IF(AND(UPPER(K237)&lt;&gt;"N",N(M237)&gt;0,UPPER(L237)="N"),"Pension not applicable, whole 12% goes to EPF. ","")&amp;IF(AND(ISNUMBER(H237),ABS(SUM(C237:G237)-N(H237))&gt;1),"Heads in the file add up to "&amp;SUM(C237:G237)&amp;", Gross is "&amp;H237&amp;" (a pay head may be missing). ","")&amp;IF(AND(Settings!$B$32,N(H237)&gt;0,ISNUMBER(M237),N(M237)&lt;H237*0.5-0.5),"50% check: PF wage is "&amp;TEXT(M237/H237,"0%")&amp;" of gross. ","")&amp;IF(AND(N(M237)&gt;0,UPPER(K237)&lt;&gt;"N",N(N237)+N(O237)=0),"No days to count. ","")))</f>
        <v/>
      </c>
    </row>
    <row r="238" customFormat="false" ht="15" hidden="false" customHeight="false" outlineLevel="0" collapsed="false">
      <c r="A238" s="14"/>
      <c r="B238" s="14"/>
      <c r="C238" s="17"/>
      <c r="D238" s="17"/>
      <c r="E238" s="17"/>
      <c r="F238" s="17"/>
      <c r="G238" s="17"/>
      <c r="H238" s="17"/>
      <c r="I238" s="14"/>
      <c r="J238" s="14"/>
      <c r="K238" s="14"/>
      <c r="L238" s="14"/>
      <c r="M238" s="34" t="str">
        <f aca="false">IF(COUNT(C238:H238)=0,"",IFERROR(MAX(0,ROUND(IF(Settings!$B$33,IF(H238="",SUM(C238:G238),H238)-SUMPRODUCT(($C$4:$G$4="Y")*C238:G238),SUMPRODUCT(($C$4:$G$4="Y")*C238:G238)),0)),"Check inputs"))</f>
        <v/>
      </c>
      <c r="N238" s="35" t="str">
        <f aca="false">IF(AND(N($M238)&gt;0,UPPER($K238)&lt;&gt;"N"),IF(Settings!$B$28,MAX(0,MIN(Settings!$B$16,IF(I238="",Settings!$B$16,I238)))/Settings!$B$15,1),"")</f>
        <v/>
      </c>
      <c r="O238" s="35" t="str">
        <f aca="false">IF(AND(N($M238)&gt;0,UPPER($K238)&lt;&gt;"N"),IF(Settings!$B$28,MAX(0,MIN(Settings!$B$17,IF(J238="",Settings!$B$17,J238)))/Settings!$B$15,0),"")</f>
        <v/>
      </c>
      <c r="P238" s="34" t="str">
        <f aca="false">IF(N238="","",ROUND(IF(Settings!$B$27,MIN($M238,Settings!$B$29),$M238)*N238,0))</f>
        <v/>
      </c>
      <c r="Q238" s="34" t="str">
        <f aca="false">IF(N238="","",ROUND(IF(Settings!$B$27,MIN($M238,Settings!$B$30),$M238)*O238,0))</f>
        <v/>
      </c>
      <c r="R238" s="34" t="str">
        <f aca="false">IF(N238="","",P238+Q238)</f>
        <v/>
      </c>
      <c r="S238" s="34" t="str">
        <f aca="false">IF(N238="","",ROUND(MIN($M238,Settings!$B$29)*N238,0)+ROUND(MIN($M238,Settings!$B$30)*O238,0))</f>
        <v/>
      </c>
      <c r="T238" s="34" t="str">
        <f aca="false">IF(N238="","",IF(UPPER(L238)="N",0,S238))</f>
        <v/>
      </c>
      <c r="U238" s="25" t="str">
        <f aca="false">IF(N238="","",ROUND(R238*Settings!$B$18,0))</f>
        <v/>
      </c>
      <c r="V238" s="25" t="str">
        <f aca="false">IF(N238="","",ROUND(R238*Settings!$B$19,0)-X238)</f>
        <v/>
      </c>
      <c r="W238" s="25" t="str">
        <f aca="false">IF(N238="","",IF(Settings!$B$31,ROUND(R238*Settings!$B$22,0),0))</f>
        <v/>
      </c>
      <c r="X238" s="25" t="str">
        <f aca="false">IF(N238="","",MIN(ROUND(T238*Settings!$B$20,0),ROUND(R238*Settings!$B$19,0)))</f>
        <v/>
      </c>
      <c r="Y238" s="25" t="str">
        <f aca="false">IF(N238="","",IF(Settings!$B$31,ROUND(S238*Settings!$B$21,0),0))</f>
        <v/>
      </c>
      <c r="Z238" s="25" t="str">
        <f aca="false">IF(N238="","",U238+V238+X238+W238+Y238)</f>
        <v/>
      </c>
      <c r="AA238" s="7" t="str">
        <f aca="false">IF(COUNT(C238:H238)=0,"",TRIM(IF(UPPER(K238)="N","Not a PF member, skipped. ","")&amp;IF(AND(UPPER(K238)&lt;&gt;"N",N(M238)&lt;=0),"PF wage is zero, skipped. ","")&amp;IF(AND(UPPER(K238)&lt;&gt;"N",N(M238)&gt;0,UPPER(L238)="N"),"Pension not applicable, whole 12% goes to EPF. ","")&amp;IF(AND(ISNUMBER(H238),ABS(SUM(C238:G238)-N(H238))&gt;1),"Heads in the file add up to "&amp;SUM(C238:G238)&amp;", Gross is "&amp;H238&amp;" (a pay head may be missing). ","")&amp;IF(AND(Settings!$B$32,N(H238)&gt;0,ISNUMBER(M238),N(M238)&lt;H238*0.5-0.5),"50% check: PF wage is "&amp;TEXT(M238/H238,"0%")&amp;" of gross. ","")&amp;IF(AND(N(M238)&gt;0,UPPER(K238)&lt;&gt;"N",N(N238)+N(O238)=0),"No days to count. ","")))</f>
        <v/>
      </c>
    </row>
    <row r="239" customFormat="false" ht="15" hidden="false" customHeight="false" outlineLevel="0" collapsed="false">
      <c r="A239" s="14"/>
      <c r="B239" s="14"/>
      <c r="C239" s="17"/>
      <c r="D239" s="17"/>
      <c r="E239" s="17"/>
      <c r="F239" s="17"/>
      <c r="G239" s="17"/>
      <c r="H239" s="17"/>
      <c r="I239" s="14"/>
      <c r="J239" s="14"/>
      <c r="K239" s="14"/>
      <c r="L239" s="14"/>
      <c r="M239" s="34" t="str">
        <f aca="false">IF(COUNT(C239:H239)=0,"",IFERROR(MAX(0,ROUND(IF(Settings!$B$33,IF(H239="",SUM(C239:G239),H239)-SUMPRODUCT(($C$4:$G$4="Y")*C239:G239),SUMPRODUCT(($C$4:$G$4="Y")*C239:G239)),0)),"Check inputs"))</f>
        <v/>
      </c>
      <c r="N239" s="35" t="str">
        <f aca="false">IF(AND(N($M239)&gt;0,UPPER($K239)&lt;&gt;"N"),IF(Settings!$B$28,MAX(0,MIN(Settings!$B$16,IF(I239="",Settings!$B$16,I239)))/Settings!$B$15,1),"")</f>
        <v/>
      </c>
      <c r="O239" s="35" t="str">
        <f aca="false">IF(AND(N($M239)&gt;0,UPPER($K239)&lt;&gt;"N"),IF(Settings!$B$28,MAX(0,MIN(Settings!$B$17,IF(J239="",Settings!$B$17,J239)))/Settings!$B$15,0),"")</f>
        <v/>
      </c>
      <c r="P239" s="34" t="str">
        <f aca="false">IF(N239="","",ROUND(IF(Settings!$B$27,MIN($M239,Settings!$B$29),$M239)*N239,0))</f>
        <v/>
      </c>
      <c r="Q239" s="34" t="str">
        <f aca="false">IF(N239="","",ROUND(IF(Settings!$B$27,MIN($M239,Settings!$B$30),$M239)*O239,0))</f>
        <v/>
      </c>
      <c r="R239" s="34" t="str">
        <f aca="false">IF(N239="","",P239+Q239)</f>
        <v/>
      </c>
      <c r="S239" s="34" t="str">
        <f aca="false">IF(N239="","",ROUND(MIN($M239,Settings!$B$29)*N239,0)+ROUND(MIN($M239,Settings!$B$30)*O239,0))</f>
        <v/>
      </c>
      <c r="T239" s="34" t="str">
        <f aca="false">IF(N239="","",IF(UPPER(L239)="N",0,S239))</f>
        <v/>
      </c>
      <c r="U239" s="25" t="str">
        <f aca="false">IF(N239="","",ROUND(R239*Settings!$B$18,0))</f>
        <v/>
      </c>
      <c r="V239" s="25" t="str">
        <f aca="false">IF(N239="","",ROUND(R239*Settings!$B$19,0)-X239)</f>
        <v/>
      </c>
      <c r="W239" s="25" t="str">
        <f aca="false">IF(N239="","",IF(Settings!$B$31,ROUND(R239*Settings!$B$22,0),0))</f>
        <v/>
      </c>
      <c r="X239" s="25" t="str">
        <f aca="false">IF(N239="","",MIN(ROUND(T239*Settings!$B$20,0),ROUND(R239*Settings!$B$19,0)))</f>
        <v/>
      </c>
      <c r="Y239" s="25" t="str">
        <f aca="false">IF(N239="","",IF(Settings!$B$31,ROUND(S239*Settings!$B$21,0),0))</f>
        <v/>
      </c>
      <c r="Z239" s="25" t="str">
        <f aca="false">IF(N239="","",U239+V239+X239+W239+Y239)</f>
        <v/>
      </c>
      <c r="AA239" s="7" t="str">
        <f aca="false">IF(COUNT(C239:H239)=0,"",TRIM(IF(UPPER(K239)="N","Not a PF member, skipped. ","")&amp;IF(AND(UPPER(K239)&lt;&gt;"N",N(M239)&lt;=0),"PF wage is zero, skipped. ","")&amp;IF(AND(UPPER(K239)&lt;&gt;"N",N(M239)&gt;0,UPPER(L239)="N"),"Pension not applicable, whole 12% goes to EPF. ","")&amp;IF(AND(ISNUMBER(H239),ABS(SUM(C239:G239)-N(H239))&gt;1),"Heads in the file add up to "&amp;SUM(C239:G239)&amp;", Gross is "&amp;H239&amp;" (a pay head may be missing). ","")&amp;IF(AND(Settings!$B$32,N(H239)&gt;0,ISNUMBER(M239),N(M239)&lt;H239*0.5-0.5),"50% check: PF wage is "&amp;TEXT(M239/H239,"0%")&amp;" of gross. ","")&amp;IF(AND(N(M239)&gt;0,UPPER(K239)&lt;&gt;"N",N(N239)+N(O239)=0),"No days to count. ","")))</f>
        <v/>
      </c>
    </row>
    <row r="240" customFormat="false" ht="15" hidden="false" customHeight="false" outlineLevel="0" collapsed="false">
      <c r="A240" s="14"/>
      <c r="B240" s="14"/>
      <c r="C240" s="17"/>
      <c r="D240" s="17"/>
      <c r="E240" s="17"/>
      <c r="F240" s="17"/>
      <c r="G240" s="17"/>
      <c r="H240" s="17"/>
      <c r="I240" s="14"/>
      <c r="J240" s="14"/>
      <c r="K240" s="14"/>
      <c r="L240" s="14"/>
      <c r="M240" s="34" t="str">
        <f aca="false">IF(COUNT(C240:H240)=0,"",IFERROR(MAX(0,ROUND(IF(Settings!$B$33,IF(H240="",SUM(C240:G240),H240)-SUMPRODUCT(($C$4:$G$4="Y")*C240:G240),SUMPRODUCT(($C$4:$G$4="Y")*C240:G240)),0)),"Check inputs"))</f>
        <v/>
      </c>
      <c r="N240" s="35" t="str">
        <f aca="false">IF(AND(N($M240)&gt;0,UPPER($K240)&lt;&gt;"N"),IF(Settings!$B$28,MAX(0,MIN(Settings!$B$16,IF(I240="",Settings!$B$16,I240)))/Settings!$B$15,1),"")</f>
        <v/>
      </c>
      <c r="O240" s="35" t="str">
        <f aca="false">IF(AND(N($M240)&gt;0,UPPER($K240)&lt;&gt;"N"),IF(Settings!$B$28,MAX(0,MIN(Settings!$B$17,IF(J240="",Settings!$B$17,J240)))/Settings!$B$15,0),"")</f>
        <v/>
      </c>
      <c r="P240" s="34" t="str">
        <f aca="false">IF(N240="","",ROUND(IF(Settings!$B$27,MIN($M240,Settings!$B$29),$M240)*N240,0))</f>
        <v/>
      </c>
      <c r="Q240" s="34" t="str">
        <f aca="false">IF(N240="","",ROUND(IF(Settings!$B$27,MIN($M240,Settings!$B$30),$M240)*O240,0))</f>
        <v/>
      </c>
      <c r="R240" s="34" t="str">
        <f aca="false">IF(N240="","",P240+Q240)</f>
        <v/>
      </c>
      <c r="S240" s="34" t="str">
        <f aca="false">IF(N240="","",ROUND(MIN($M240,Settings!$B$29)*N240,0)+ROUND(MIN($M240,Settings!$B$30)*O240,0))</f>
        <v/>
      </c>
      <c r="T240" s="34" t="str">
        <f aca="false">IF(N240="","",IF(UPPER(L240)="N",0,S240))</f>
        <v/>
      </c>
      <c r="U240" s="25" t="str">
        <f aca="false">IF(N240="","",ROUND(R240*Settings!$B$18,0))</f>
        <v/>
      </c>
      <c r="V240" s="25" t="str">
        <f aca="false">IF(N240="","",ROUND(R240*Settings!$B$19,0)-X240)</f>
        <v/>
      </c>
      <c r="W240" s="25" t="str">
        <f aca="false">IF(N240="","",IF(Settings!$B$31,ROUND(R240*Settings!$B$22,0),0))</f>
        <v/>
      </c>
      <c r="X240" s="25" t="str">
        <f aca="false">IF(N240="","",MIN(ROUND(T240*Settings!$B$20,0),ROUND(R240*Settings!$B$19,0)))</f>
        <v/>
      </c>
      <c r="Y240" s="25" t="str">
        <f aca="false">IF(N240="","",IF(Settings!$B$31,ROUND(S240*Settings!$B$21,0),0))</f>
        <v/>
      </c>
      <c r="Z240" s="25" t="str">
        <f aca="false">IF(N240="","",U240+V240+X240+W240+Y240)</f>
        <v/>
      </c>
      <c r="AA240" s="7" t="str">
        <f aca="false">IF(COUNT(C240:H240)=0,"",TRIM(IF(UPPER(K240)="N","Not a PF member, skipped. ","")&amp;IF(AND(UPPER(K240)&lt;&gt;"N",N(M240)&lt;=0),"PF wage is zero, skipped. ","")&amp;IF(AND(UPPER(K240)&lt;&gt;"N",N(M240)&gt;0,UPPER(L240)="N"),"Pension not applicable, whole 12% goes to EPF. ","")&amp;IF(AND(ISNUMBER(H240),ABS(SUM(C240:G240)-N(H240))&gt;1),"Heads in the file add up to "&amp;SUM(C240:G240)&amp;", Gross is "&amp;H240&amp;" (a pay head may be missing). ","")&amp;IF(AND(Settings!$B$32,N(H240)&gt;0,ISNUMBER(M240),N(M240)&lt;H240*0.5-0.5),"50% check: PF wage is "&amp;TEXT(M240/H240,"0%")&amp;" of gross. ","")&amp;IF(AND(N(M240)&gt;0,UPPER(K240)&lt;&gt;"N",N(N240)+N(O240)=0),"No days to count. ","")))</f>
        <v/>
      </c>
    </row>
    <row r="241" customFormat="false" ht="15" hidden="false" customHeight="false" outlineLevel="0" collapsed="false">
      <c r="A241" s="14"/>
      <c r="B241" s="14"/>
      <c r="C241" s="17"/>
      <c r="D241" s="17"/>
      <c r="E241" s="17"/>
      <c r="F241" s="17"/>
      <c r="G241" s="17"/>
      <c r="H241" s="17"/>
      <c r="I241" s="14"/>
      <c r="J241" s="14"/>
      <c r="K241" s="14"/>
      <c r="L241" s="14"/>
      <c r="M241" s="34" t="str">
        <f aca="false">IF(COUNT(C241:H241)=0,"",IFERROR(MAX(0,ROUND(IF(Settings!$B$33,IF(H241="",SUM(C241:G241),H241)-SUMPRODUCT(($C$4:$G$4="Y")*C241:G241),SUMPRODUCT(($C$4:$G$4="Y")*C241:G241)),0)),"Check inputs"))</f>
        <v/>
      </c>
      <c r="N241" s="35" t="str">
        <f aca="false">IF(AND(N($M241)&gt;0,UPPER($K241)&lt;&gt;"N"),IF(Settings!$B$28,MAX(0,MIN(Settings!$B$16,IF(I241="",Settings!$B$16,I241)))/Settings!$B$15,1),"")</f>
        <v/>
      </c>
      <c r="O241" s="35" t="str">
        <f aca="false">IF(AND(N($M241)&gt;0,UPPER($K241)&lt;&gt;"N"),IF(Settings!$B$28,MAX(0,MIN(Settings!$B$17,IF(J241="",Settings!$B$17,J241)))/Settings!$B$15,0),"")</f>
        <v/>
      </c>
      <c r="P241" s="34" t="str">
        <f aca="false">IF(N241="","",ROUND(IF(Settings!$B$27,MIN($M241,Settings!$B$29),$M241)*N241,0))</f>
        <v/>
      </c>
      <c r="Q241" s="34" t="str">
        <f aca="false">IF(N241="","",ROUND(IF(Settings!$B$27,MIN($M241,Settings!$B$30),$M241)*O241,0))</f>
        <v/>
      </c>
      <c r="R241" s="34" t="str">
        <f aca="false">IF(N241="","",P241+Q241)</f>
        <v/>
      </c>
      <c r="S241" s="34" t="str">
        <f aca="false">IF(N241="","",ROUND(MIN($M241,Settings!$B$29)*N241,0)+ROUND(MIN($M241,Settings!$B$30)*O241,0))</f>
        <v/>
      </c>
      <c r="T241" s="34" t="str">
        <f aca="false">IF(N241="","",IF(UPPER(L241)="N",0,S241))</f>
        <v/>
      </c>
      <c r="U241" s="25" t="str">
        <f aca="false">IF(N241="","",ROUND(R241*Settings!$B$18,0))</f>
        <v/>
      </c>
      <c r="V241" s="25" t="str">
        <f aca="false">IF(N241="","",ROUND(R241*Settings!$B$19,0)-X241)</f>
        <v/>
      </c>
      <c r="W241" s="25" t="str">
        <f aca="false">IF(N241="","",IF(Settings!$B$31,ROUND(R241*Settings!$B$22,0),0))</f>
        <v/>
      </c>
      <c r="X241" s="25" t="str">
        <f aca="false">IF(N241="","",MIN(ROUND(T241*Settings!$B$20,0),ROUND(R241*Settings!$B$19,0)))</f>
        <v/>
      </c>
      <c r="Y241" s="25" t="str">
        <f aca="false">IF(N241="","",IF(Settings!$B$31,ROUND(S241*Settings!$B$21,0),0))</f>
        <v/>
      </c>
      <c r="Z241" s="25" t="str">
        <f aca="false">IF(N241="","",U241+V241+X241+W241+Y241)</f>
        <v/>
      </c>
      <c r="AA241" s="7" t="str">
        <f aca="false">IF(COUNT(C241:H241)=0,"",TRIM(IF(UPPER(K241)="N","Not a PF member, skipped. ","")&amp;IF(AND(UPPER(K241)&lt;&gt;"N",N(M241)&lt;=0),"PF wage is zero, skipped. ","")&amp;IF(AND(UPPER(K241)&lt;&gt;"N",N(M241)&gt;0,UPPER(L241)="N"),"Pension not applicable, whole 12% goes to EPF. ","")&amp;IF(AND(ISNUMBER(H241),ABS(SUM(C241:G241)-N(H241))&gt;1),"Heads in the file add up to "&amp;SUM(C241:G241)&amp;", Gross is "&amp;H241&amp;" (a pay head may be missing). ","")&amp;IF(AND(Settings!$B$32,N(H241)&gt;0,ISNUMBER(M241),N(M241)&lt;H241*0.5-0.5),"50% check: PF wage is "&amp;TEXT(M241/H241,"0%")&amp;" of gross. ","")&amp;IF(AND(N(M241)&gt;0,UPPER(K241)&lt;&gt;"N",N(N241)+N(O241)=0),"No days to count. ","")))</f>
        <v/>
      </c>
    </row>
    <row r="242" customFormat="false" ht="15" hidden="false" customHeight="false" outlineLevel="0" collapsed="false">
      <c r="A242" s="14"/>
      <c r="B242" s="14"/>
      <c r="C242" s="17"/>
      <c r="D242" s="17"/>
      <c r="E242" s="17"/>
      <c r="F242" s="17"/>
      <c r="G242" s="17"/>
      <c r="H242" s="17"/>
      <c r="I242" s="14"/>
      <c r="J242" s="14"/>
      <c r="K242" s="14"/>
      <c r="L242" s="14"/>
      <c r="M242" s="34" t="str">
        <f aca="false">IF(COUNT(C242:H242)=0,"",IFERROR(MAX(0,ROUND(IF(Settings!$B$33,IF(H242="",SUM(C242:G242),H242)-SUMPRODUCT(($C$4:$G$4="Y")*C242:G242),SUMPRODUCT(($C$4:$G$4="Y")*C242:G242)),0)),"Check inputs"))</f>
        <v/>
      </c>
      <c r="N242" s="35" t="str">
        <f aca="false">IF(AND(N($M242)&gt;0,UPPER($K242)&lt;&gt;"N"),IF(Settings!$B$28,MAX(0,MIN(Settings!$B$16,IF(I242="",Settings!$B$16,I242)))/Settings!$B$15,1),"")</f>
        <v/>
      </c>
      <c r="O242" s="35" t="str">
        <f aca="false">IF(AND(N($M242)&gt;0,UPPER($K242)&lt;&gt;"N"),IF(Settings!$B$28,MAX(0,MIN(Settings!$B$17,IF(J242="",Settings!$B$17,J242)))/Settings!$B$15,0),"")</f>
        <v/>
      </c>
      <c r="P242" s="34" t="str">
        <f aca="false">IF(N242="","",ROUND(IF(Settings!$B$27,MIN($M242,Settings!$B$29),$M242)*N242,0))</f>
        <v/>
      </c>
      <c r="Q242" s="34" t="str">
        <f aca="false">IF(N242="","",ROUND(IF(Settings!$B$27,MIN($M242,Settings!$B$30),$M242)*O242,0))</f>
        <v/>
      </c>
      <c r="R242" s="34" t="str">
        <f aca="false">IF(N242="","",P242+Q242)</f>
        <v/>
      </c>
      <c r="S242" s="34" t="str">
        <f aca="false">IF(N242="","",ROUND(MIN($M242,Settings!$B$29)*N242,0)+ROUND(MIN($M242,Settings!$B$30)*O242,0))</f>
        <v/>
      </c>
      <c r="T242" s="34" t="str">
        <f aca="false">IF(N242="","",IF(UPPER(L242)="N",0,S242))</f>
        <v/>
      </c>
      <c r="U242" s="25" t="str">
        <f aca="false">IF(N242="","",ROUND(R242*Settings!$B$18,0))</f>
        <v/>
      </c>
      <c r="V242" s="25" t="str">
        <f aca="false">IF(N242="","",ROUND(R242*Settings!$B$19,0)-X242)</f>
        <v/>
      </c>
      <c r="W242" s="25" t="str">
        <f aca="false">IF(N242="","",IF(Settings!$B$31,ROUND(R242*Settings!$B$22,0),0))</f>
        <v/>
      </c>
      <c r="X242" s="25" t="str">
        <f aca="false">IF(N242="","",MIN(ROUND(T242*Settings!$B$20,0),ROUND(R242*Settings!$B$19,0)))</f>
        <v/>
      </c>
      <c r="Y242" s="25" t="str">
        <f aca="false">IF(N242="","",IF(Settings!$B$31,ROUND(S242*Settings!$B$21,0),0))</f>
        <v/>
      </c>
      <c r="Z242" s="25" t="str">
        <f aca="false">IF(N242="","",U242+V242+X242+W242+Y242)</f>
        <v/>
      </c>
      <c r="AA242" s="7" t="str">
        <f aca="false">IF(COUNT(C242:H242)=0,"",TRIM(IF(UPPER(K242)="N","Not a PF member, skipped. ","")&amp;IF(AND(UPPER(K242)&lt;&gt;"N",N(M242)&lt;=0),"PF wage is zero, skipped. ","")&amp;IF(AND(UPPER(K242)&lt;&gt;"N",N(M242)&gt;0,UPPER(L242)="N"),"Pension not applicable, whole 12% goes to EPF. ","")&amp;IF(AND(ISNUMBER(H242),ABS(SUM(C242:G242)-N(H242))&gt;1),"Heads in the file add up to "&amp;SUM(C242:G242)&amp;", Gross is "&amp;H242&amp;" (a pay head may be missing). ","")&amp;IF(AND(Settings!$B$32,N(H242)&gt;0,ISNUMBER(M242),N(M242)&lt;H242*0.5-0.5),"50% check: PF wage is "&amp;TEXT(M242/H242,"0%")&amp;" of gross. ","")&amp;IF(AND(N(M242)&gt;0,UPPER(K242)&lt;&gt;"N",N(N242)+N(O242)=0),"No days to count. ","")))</f>
        <v/>
      </c>
    </row>
    <row r="243" customFormat="false" ht="15" hidden="false" customHeight="false" outlineLevel="0" collapsed="false">
      <c r="A243" s="14"/>
      <c r="B243" s="14"/>
      <c r="C243" s="17"/>
      <c r="D243" s="17"/>
      <c r="E243" s="17"/>
      <c r="F243" s="17"/>
      <c r="G243" s="17"/>
      <c r="H243" s="17"/>
      <c r="I243" s="14"/>
      <c r="J243" s="14"/>
      <c r="K243" s="14"/>
      <c r="L243" s="14"/>
      <c r="M243" s="34" t="str">
        <f aca="false">IF(COUNT(C243:H243)=0,"",IFERROR(MAX(0,ROUND(IF(Settings!$B$33,IF(H243="",SUM(C243:G243),H243)-SUMPRODUCT(($C$4:$G$4="Y")*C243:G243),SUMPRODUCT(($C$4:$G$4="Y")*C243:G243)),0)),"Check inputs"))</f>
        <v/>
      </c>
      <c r="N243" s="35" t="str">
        <f aca="false">IF(AND(N($M243)&gt;0,UPPER($K243)&lt;&gt;"N"),IF(Settings!$B$28,MAX(0,MIN(Settings!$B$16,IF(I243="",Settings!$B$16,I243)))/Settings!$B$15,1),"")</f>
        <v/>
      </c>
      <c r="O243" s="35" t="str">
        <f aca="false">IF(AND(N($M243)&gt;0,UPPER($K243)&lt;&gt;"N"),IF(Settings!$B$28,MAX(0,MIN(Settings!$B$17,IF(J243="",Settings!$B$17,J243)))/Settings!$B$15,0),"")</f>
        <v/>
      </c>
      <c r="P243" s="34" t="str">
        <f aca="false">IF(N243="","",ROUND(IF(Settings!$B$27,MIN($M243,Settings!$B$29),$M243)*N243,0))</f>
        <v/>
      </c>
      <c r="Q243" s="34" t="str">
        <f aca="false">IF(N243="","",ROUND(IF(Settings!$B$27,MIN($M243,Settings!$B$30),$M243)*O243,0))</f>
        <v/>
      </c>
      <c r="R243" s="34" t="str">
        <f aca="false">IF(N243="","",P243+Q243)</f>
        <v/>
      </c>
      <c r="S243" s="34" t="str">
        <f aca="false">IF(N243="","",ROUND(MIN($M243,Settings!$B$29)*N243,0)+ROUND(MIN($M243,Settings!$B$30)*O243,0))</f>
        <v/>
      </c>
      <c r="T243" s="34" t="str">
        <f aca="false">IF(N243="","",IF(UPPER(L243)="N",0,S243))</f>
        <v/>
      </c>
      <c r="U243" s="25" t="str">
        <f aca="false">IF(N243="","",ROUND(R243*Settings!$B$18,0))</f>
        <v/>
      </c>
      <c r="V243" s="25" t="str">
        <f aca="false">IF(N243="","",ROUND(R243*Settings!$B$19,0)-X243)</f>
        <v/>
      </c>
      <c r="W243" s="25" t="str">
        <f aca="false">IF(N243="","",IF(Settings!$B$31,ROUND(R243*Settings!$B$22,0),0))</f>
        <v/>
      </c>
      <c r="X243" s="25" t="str">
        <f aca="false">IF(N243="","",MIN(ROUND(T243*Settings!$B$20,0),ROUND(R243*Settings!$B$19,0)))</f>
        <v/>
      </c>
      <c r="Y243" s="25" t="str">
        <f aca="false">IF(N243="","",IF(Settings!$B$31,ROUND(S243*Settings!$B$21,0),0))</f>
        <v/>
      </c>
      <c r="Z243" s="25" t="str">
        <f aca="false">IF(N243="","",U243+V243+X243+W243+Y243)</f>
        <v/>
      </c>
      <c r="AA243" s="7" t="str">
        <f aca="false">IF(COUNT(C243:H243)=0,"",TRIM(IF(UPPER(K243)="N","Not a PF member, skipped. ","")&amp;IF(AND(UPPER(K243)&lt;&gt;"N",N(M243)&lt;=0),"PF wage is zero, skipped. ","")&amp;IF(AND(UPPER(K243)&lt;&gt;"N",N(M243)&gt;0,UPPER(L243)="N"),"Pension not applicable, whole 12% goes to EPF. ","")&amp;IF(AND(ISNUMBER(H243),ABS(SUM(C243:G243)-N(H243))&gt;1),"Heads in the file add up to "&amp;SUM(C243:G243)&amp;", Gross is "&amp;H243&amp;" (a pay head may be missing). ","")&amp;IF(AND(Settings!$B$32,N(H243)&gt;0,ISNUMBER(M243),N(M243)&lt;H243*0.5-0.5),"50% check: PF wage is "&amp;TEXT(M243/H243,"0%")&amp;" of gross. ","")&amp;IF(AND(N(M243)&gt;0,UPPER(K243)&lt;&gt;"N",N(N243)+N(O243)=0),"No days to count. ","")))</f>
        <v/>
      </c>
    </row>
    <row r="244" customFormat="false" ht="15" hidden="false" customHeight="false" outlineLevel="0" collapsed="false">
      <c r="A244" s="14"/>
      <c r="B244" s="14"/>
      <c r="C244" s="17"/>
      <c r="D244" s="17"/>
      <c r="E244" s="17"/>
      <c r="F244" s="17"/>
      <c r="G244" s="17"/>
      <c r="H244" s="17"/>
      <c r="I244" s="14"/>
      <c r="J244" s="14"/>
      <c r="K244" s="14"/>
      <c r="L244" s="14"/>
      <c r="M244" s="34" t="str">
        <f aca="false">IF(COUNT(C244:H244)=0,"",IFERROR(MAX(0,ROUND(IF(Settings!$B$33,IF(H244="",SUM(C244:G244),H244)-SUMPRODUCT(($C$4:$G$4="Y")*C244:G244),SUMPRODUCT(($C$4:$G$4="Y")*C244:G244)),0)),"Check inputs"))</f>
        <v/>
      </c>
      <c r="N244" s="35" t="str">
        <f aca="false">IF(AND(N($M244)&gt;0,UPPER($K244)&lt;&gt;"N"),IF(Settings!$B$28,MAX(0,MIN(Settings!$B$16,IF(I244="",Settings!$B$16,I244)))/Settings!$B$15,1),"")</f>
        <v/>
      </c>
      <c r="O244" s="35" t="str">
        <f aca="false">IF(AND(N($M244)&gt;0,UPPER($K244)&lt;&gt;"N"),IF(Settings!$B$28,MAX(0,MIN(Settings!$B$17,IF(J244="",Settings!$B$17,J244)))/Settings!$B$15,0),"")</f>
        <v/>
      </c>
      <c r="P244" s="34" t="str">
        <f aca="false">IF(N244="","",ROUND(IF(Settings!$B$27,MIN($M244,Settings!$B$29),$M244)*N244,0))</f>
        <v/>
      </c>
      <c r="Q244" s="34" t="str">
        <f aca="false">IF(N244="","",ROUND(IF(Settings!$B$27,MIN($M244,Settings!$B$30),$M244)*O244,0))</f>
        <v/>
      </c>
      <c r="R244" s="34" t="str">
        <f aca="false">IF(N244="","",P244+Q244)</f>
        <v/>
      </c>
      <c r="S244" s="34" t="str">
        <f aca="false">IF(N244="","",ROUND(MIN($M244,Settings!$B$29)*N244,0)+ROUND(MIN($M244,Settings!$B$30)*O244,0))</f>
        <v/>
      </c>
      <c r="T244" s="34" t="str">
        <f aca="false">IF(N244="","",IF(UPPER(L244)="N",0,S244))</f>
        <v/>
      </c>
      <c r="U244" s="25" t="str">
        <f aca="false">IF(N244="","",ROUND(R244*Settings!$B$18,0))</f>
        <v/>
      </c>
      <c r="V244" s="25" t="str">
        <f aca="false">IF(N244="","",ROUND(R244*Settings!$B$19,0)-X244)</f>
        <v/>
      </c>
      <c r="W244" s="25" t="str">
        <f aca="false">IF(N244="","",IF(Settings!$B$31,ROUND(R244*Settings!$B$22,0),0))</f>
        <v/>
      </c>
      <c r="X244" s="25" t="str">
        <f aca="false">IF(N244="","",MIN(ROUND(T244*Settings!$B$20,0),ROUND(R244*Settings!$B$19,0)))</f>
        <v/>
      </c>
      <c r="Y244" s="25" t="str">
        <f aca="false">IF(N244="","",IF(Settings!$B$31,ROUND(S244*Settings!$B$21,0),0))</f>
        <v/>
      </c>
      <c r="Z244" s="25" t="str">
        <f aca="false">IF(N244="","",U244+V244+X244+W244+Y244)</f>
        <v/>
      </c>
      <c r="AA244" s="7" t="str">
        <f aca="false">IF(COUNT(C244:H244)=0,"",TRIM(IF(UPPER(K244)="N","Not a PF member, skipped. ","")&amp;IF(AND(UPPER(K244)&lt;&gt;"N",N(M244)&lt;=0),"PF wage is zero, skipped. ","")&amp;IF(AND(UPPER(K244)&lt;&gt;"N",N(M244)&gt;0,UPPER(L244)="N"),"Pension not applicable, whole 12% goes to EPF. ","")&amp;IF(AND(ISNUMBER(H244),ABS(SUM(C244:G244)-N(H244))&gt;1),"Heads in the file add up to "&amp;SUM(C244:G244)&amp;", Gross is "&amp;H244&amp;" (a pay head may be missing). ","")&amp;IF(AND(Settings!$B$32,N(H244)&gt;0,ISNUMBER(M244),N(M244)&lt;H244*0.5-0.5),"50% check: PF wage is "&amp;TEXT(M244/H244,"0%")&amp;" of gross. ","")&amp;IF(AND(N(M244)&gt;0,UPPER(K244)&lt;&gt;"N",N(N244)+N(O244)=0),"No days to count. ","")))</f>
        <v/>
      </c>
    </row>
    <row r="245" customFormat="false" ht="15" hidden="false" customHeight="false" outlineLevel="0" collapsed="false">
      <c r="A245" s="14"/>
      <c r="B245" s="14"/>
      <c r="C245" s="17"/>
      <c r="D245" s="17"/>
      <c r="E245" s="17"/>
      <c r="F245" s="17"/>
      <c r="G245" s="17"/>
      <c r="H245" s="17"/>
      <c r="I245" s="14"/>
      <c r="J245" s="14"/>
      <c r="K245" s="14"/>
      <c r="L245" s="14"/>
      <c r="M245" s="34" t="str">
        <f aca="false">IF(COUNT(C245:H245)=0,"",IFERROR(MAX(0,ROUND(IF(Settings!$B$33,IF(H245="",SUM(C245:G245),H245)-SUMPRODUCT(($C$4:$G$4="Y")*C245:G245),SUMPRODUCT(($C$4:$G$4="Y")*C245:G245)),0)),"Check inputs"))</f>
        <v/>
      </c>
      <c r="N245" s="35" t="str">
        <f aca="false">IF(AND(N($M245)&gt;0,UPPER($K245)&lt;&gt;"N"),IF(Settings!$B$28,MAX(0,MIN(Settings!$B$16,IF(I245="",Settings!$B$16,I245)))/Settings!$B$15,1),"")</f>
        <v/>
      </c>
      <c r="O245" s="35" t="str">
        <f aca="false">IF(AND(N($M245)&gt;0,UPPER($K245)&lt;&gt;"N"),IF(Settings!$B$28,MAX(0,MIN(Settings!$B$17,IF(J245="",Settings!$B$17,J245)))/Settings!$B$15,0),"")</f>
        <v/>
      </c>
      <c r="P245" s="34" t="str">
        <f aca="false">IF(N245="","",ROUND(IF(Settings!$B$27,MIN($M245,Settings!$B$29),$M245)*N245,0))</f>
        <v/>
      </c>
      <c r="Q245" s="34" t="str">
        <f aca="false">IF(N245="","",ROUND(IF(Settings!$B$27,MIN($M245,Settings!$B$30),$M245)*O245,0))</f>
        <v/>
      </c>
      <c r="R245" s="34" t="str">
        <f aca="false">IF(N245="","",P245+Q245)</f>
        <v/>
      </c>
      <c r="S245" s="34" t="str">
        <f aca="false">IF(N245="","",ROUND(MIN($M245,Settings!$B$29)*N245,0)+ROUND(MIN($M245,Settings!$B$30)*O245,0))</f>
        <v/>
      </c>
      <c r="T245" s="34" t="str">
        <f aca="false">IF(N245="","",IF(UPPER(L245)="N",0,S245))</f>
        <v/>
      </c>
      <c r="U245" s="25" t="str">
        <f aca="false">IF(N245="","",ROUND(R245*Settings!$B$18,0))</f>
        <v/>
      </c>
      <c r="V245" s="25" t="str">
        <f aca="false">IF(N245="","",ROUND(R245*Settings!$B$19,0)-X245)</f>
        <v/>
      </c>
      <c r="W245" s="25" t="str">
        <f aca="false">IF(N245="","",IF(Settings!$B$31,ROUND(R245*Settings!$B$22,0),0))</f>
        <v/>
      </c>
      <c r="X245" s="25" t="str">
        <f aca="false">IF(N245="","",MIN(ROUND(T245*Settings!$B$20,0),ROUND(R245*Settings!$B$19,0)))</f>
        <v/>
      </c>
      <c r="Y245" s="25" t="str">
        <f aca="false">IF(N245="","",IF(Settings!$B$31,ROUND(S245*Settings!$B$21,0),0))</f>
        <v/>
      </c>
      <c r="Z245" s="25" t="str">
        <f aca="false">IF(N245="","",U245+V245+X245+W245+Y245)</f>
        <v/>
      </c>
      <c r="AA245" s="7" t="str">
        <f aca="false">IF(COUNT(C245:H245)=0,"",TRIM(IF(UPPER(K245)="N","Not a PF member, skipped. ","")&amp;IF(AND(UPPER(K245)&lt;&gt;"N",N(M245)&lt;=0),"PF wage is zero, skipped. ","")&amp;IF(AND(UPPER(K245)&lt;&gt;"N",N(M245)&gt;0,UPPER(L245)="N"),"Pension not applicable, whole 12% goes to EPF. ","")&amp;IF(AND(ISNUMBER(H245),ABS(SUM(C245:G245)-N(H245))&gt;1),"Heads in the file add up to "&amp;SUM(C245:G245)&amp;", Gross is "&amp;H245&amp;" (a pay head may be missing). ","")&amp;IF(AND(Settings!$B$32,N(H245)&gt;0,ISNUMBER(M245),N(M245)&lt;H245*0.5-0.5),"50% check: PF wage is "&amp;TEXT(M245/H245,"0%")&amp;" of gross. ","")&amp;IF(AND(N(M245)&gt;0,UPPER(K245)&lt;&gt;"N",N(N245)+N(O245)=0),"No days to count. ","")))</f>
        <v/>
      </c>
    </row>
    <row r="246" customFormat="false" ht="15" hidden="false" customHeight="false" outlineLevel="0" collapsed="false">
      <c r="A246" s="14"/>
      <c r="B246" s="14"/>
      <c r="C246" s="17"/>
      <c r="D246" s="17"/>
      <c r="E246" s="17"/>
      <c r="F246" s="17"/>
      <c r="G246" s="17"/>
      <c r="H246" s="17"/>
      <c r="I246" s="14"/>
      <c r="J246" s="14"/>
      <c r="K246" s="14"/>
      <c r="L246" s="14"/>
      <c r="M246" s="34" t="str">
        <f aca="false">IF(COUNT(C246:H246)=0,"",IFERROR(MAX(0,ROUND(IF(Settings!$B$33,IF(H246="",SUM(C246:G246),H246)-SUMPRODUCT(($C$4:$G$4="Y")*C246:G246),SUMPRODUCT(($C$4:$G$4="Y")*C246:G246)),0)),"Check inputs"))</f>
        <v/>
      </c>
      <c r="N246" s="35" t="str">
        <f aca="false">IF(AND(N($M246)&gt;0,UPPER($K246)&lt;&gt;"N"),IF(Settings!$B$28,MAX(0,MIN(Settings!$B$16,IF(I246="",Settings!$B$16,I246)))/Settings!$B$15,1),"")</f>
        <v/>
      </c>
      <c r="O246" s="35" t="str">
        <f aca="false">IF(AND(N($M246)&gt;0,UPPER($K246)&lt;&gt;"N"),IF(Settings!$B$28,MAX(0,MIN(Settings!$B$17,IF(J246="",Settings!$B$17,J246)))/Settings!$B$15,0),"")</f>
        <v/>
      </c>
      <c r="P246" s="34" t="str">
        <f aca="false">IF(N246="","",ROUND(IF(Settings!$B$27,MIN($M246,Settings!$B$29),$M246)*N246,0))</f>
        <v/>
      </c>
      <c r="Q246" s="34" t="str">
        <f aca="false">IF(N246="","",ROUND(IF(Settings!$B$27,MIN($M246,Settings!$B$30),$M246)*O246,0))</f>
        <v/>
      </c>
      <c r="R246" s="34" t="str">
        <f aca="false">IF(N246="","",P246+Q246)</f>
        <v/>
      </c>
      <c r="S246" s="34" t="str">
        <f aca="false">IF(N246="","",ROUND(MIN($M246,Settings!$B$29)*N246,0)+ROUND(MIN($M246,Settings!$B$30)*O246,0))</f>
        <v/>
      </c>
      <c r="T246" s="34" t="str">
        <f aca="false">IF(N246="","",IF(UPPER(L246)="N",0,S246))</f>
        <v/>
      </c>
      <c r="U246" s="25" t="str">
        <f aca="false">IF(N246="","",ROUND(R246*Settings!$B$18,0))</f>
        <v/>
      </c>
      <c r="V246" s="25" t="str">
        <f aca="false">IF(N246="","",ROUND(R246*Settings!$B$19,0)-X246)</f>
        <v/>
      </c>
      <c r="W246" s="25" t="str">
        <f aca="false">IF(N246="","",IF(Settings!$B$31,ROUND(R246*Settings!$B$22,0),0))</f>
        <v/>
      </c>
      <c r="X246" s="25" t="str">
        <f aca="false">IF(N246="","",MIN(ROUND(T246*Settings!$B$20,0),ROUND(R246*Settings!$B$19,0)))</f>
        <v/>
      </c>
      <c r="Y246" s="25" t="str">
        <f aca="false">IF(N246="","",IF(Settings!$B$31,ROUND(S246*Settings!$B$21,0),0))</f>
        <v/>
      </c>
      <c r="Z246" s="25" t="str">
        <f aca="false">IF(N246="","",U246+V246+X246+W246+Y246)</f>
        <v/>
      </c>
      <c r="AA246" s="7" t="str">
        <f aca="false">IF(COUNT(C246:H246)=0,"",TRIM(IF(UPPER(K246)="N","Not a PF member, skipped. ","")&amp;IF(AND(UPPER(K246)&lt;&gt;"N",N(M246)&lt;=0),"PF wage is zero, skipped. ","")&amp;IF(AND(UPPER(K246)&lt;&gt;"N",N(M246)&gt;0,UPPER(L246)="N"),"Pension not applicable, whole 12% goes to EPF. ","")&amp;IF(AND(ISNUMBER(H246),ABS(SUM(C246:G246)-N(H246))&gt;1),"Heads in the file add up to "&amp;SUM(C246:G246)&amp;", Gross is "&amp;H246&amp;" (a pay head may be missing). ","")&amp;IF(AND(Settings!$B$32,N(H246)&gt;0,ISNUMBER(M246),N(M246)&lt;H246*0.5-0.5),"50% check: PF wage is "&amp;TEXT(M246/H246,"0%")&amp;" of gross. ","")&amp;IF(AND(N(M246)&gt;0,UPPER(K246)&lt;&gt;"N",N(N246)+N(O246)=0),"No days to count. ","")))</f>
        <v/>
      </c>
    </row>
    <row r="247" customFormat="false" ht="15" hidden="false" customHeight="false" outlineLevel="0" collapsed="false">
      <c r="A247" s="14"/>
      <c r="B247" s="14"/>
      <c r="C247" s="17"/>
      <c r="D247" s="17"/>
      <c r="E247" s="17"/>
      <c r="F247" s="17"/>
      <c r="G247" s="17"/>
      <c r="H247" s="17"/>
      <c r="I247" s="14"/>
      <c r="J247" s="14"/>
      <c r="K247" s="14"/>
      <c r="L247" s="14"/>
      <c r="M247" s="34" t="str">
        <f aca="false">IF(COUNT(C247:H247)=0,"",IFERROR(MAX(0,ROUND(IF(Settings!$B$33,IF(H247="",SUM(C247:G247),H247)-SUMPRODUCT(($C$4:$G$4="Y")*C247:G247),SUMPRODUCT(($C$4:$G$4="Y")*C247:G247)),0)),"Check inputs"))</f>
        <v/>
      </c>
      <c r="N247" s="35" t="str">
        <f aca="false">IF(AND(N($M247)&gt;0,UPPER($K247)&lt;&gt;"N"),IF(Settings!$B$28,MAX(0,MIN(Settings!$B$16,IF(I247="",Settings!$B$16,I247)))/Settings!$B$15,1),"")</f>
        <v/>
      </c>
      <c r="O247" s="35" t="str">
        <f aca="false">IF(AND(N($M247)&gt;0,UPPER($K247)&lt;&gt;"N"),IF(Settings!$B$28,MAX(0,MIN(Settings!$B$17,IF(J247="",Settings!$B$17,J247)))/Settings!$B$15,0),"")</f>
        <v/>
      </c>
      <c r="P247" s="34" t="str">
        <f aca="false">IF(N247="","",ROUND(IF(Settings!$B$27,MIN($M247,Settings!$B$29),$M247)*N247,0))</f>
        <v/>
      </c>
      <c r="Q247" s="34" t="str">
        <f aca="false">IF(N247="","",ROUND(IF(Settings!$B$27,MIN($M247,Settings!$B$30),$M247)*O247,0))</f>
        <v/>
      </c>
      <c r="R247" s="34" t="str">
        <f aca="false">IF(N247="","",P247+Q247)</f>
        <v/>
      </c>
      <c r="S247" s="34" t="str">
        <f aca="false">IF(N247="","",ROUND(MIN($M247,Settings!$B$29)*N247,0)+ROUND(MIN($M247,Settings!$B$30)*O247,0))</f>
        <v/>
      </c>
      <c r="T247" s="34" t="str">
        <f aca="false">IF(N247="","",IF(UPPER(L247)="N",0,S247))</f>
        <v/>
      </c>
      <c r="U247" s="25" t="str">
        <f aca="false">IF(N247="","",ROUND(R247*Settings!$B$18,0))</f>
        <v/>
      </c>
      <c r="V247" s="25" t="str">
        <f aca="false">IF(N247="","",ROUND(R247*Settings!$B$19,0)-X247)</f>
        <v/>
      </c>
      <c r="W247" s="25" t="str">
        <f aca="false">IF(N247="","",IF(Settings!$B$31,ROUND(R247*Settings!$B$22,0),0))</f>
        <v/>
      </c>
      <c r="X247" s="25" t="str">
        <f aca="false">IF(N247="","",MIN(ROUND(T247*Settings!$B$20,0),ROUND(R247*Settings!$B$19,0)))</f>
        <v/>
      </c>
      <c r="Y247" s="25" t="str">
        <f aca="false">IF(N247="","",IF(Settings!$B$31,ROUND(S247*Settings!$B$21,0),0))</f>
        <v/>
      </c>
      <c r="Z247" s="25" t="str">
        <f aca="false">IF(N247="","",U247+V247+X247+W247+Y247)</f>
        <v/>
      </c>
      <c r="AA247" s="7" t="str">
        <f aca="false">IF(COUNT(C247:H247)=0,"",TRIM(IF(UPPER(K247)="N","Not a PF member, skipped. ","")&amp;IF(AND(UPPER(K247)&lt;&gt;"N",N(M247)&lt;=0),"PF wage is zero, skipped. ","")&amp;IF(AND(UPPER(K247)&lt;&gt;"N",N(M247)&gt;0,UPPER(L247)="N"),"Pension not applicable, whole 12% goes to EPF. ","")&amp;IF(AND(ISNUMBER(H247),ABS(SUM(C247:G247)-N(H247))&gt;1),"Heads in the file add up to "&amp;SUM(C247:G247)&amp;", Gross is "&amp;H247&amp;" (a pay head may be missing). ","")&amp;IF(AND(Settings!$B$32,N(H247)&gt;0,ISNUMBER(M247),N(M247)&lt;H247*0.5-0.5),"50% check: PF wage is "&amp;TEXT(M247/H247,"0%")&amp;" of gross. ","")&amp;IF(AND(N(M247)&gt;0,UPPER(K247)&lt;&gt;"N",N(N247)+N(O247)=0),"No days to count. ","")))</f>
        <v/>
      </c>
    </row>
    <row r="248" customFormat="false" ht="15" hidden="false" customHeight="false" outlineLevel="0" collapsed="false">
      <c r="A248" s="14"/>
      <c r="B248" s="14"/>
      <c r="C248" s="17"/>
      <c r="D248" s="17"/>
      <c r="E248" s="17"/>
      <c r="F248" s="17"/>
      <c r="G248" s="17"/>
      <c r="H248" s="17"/>
      <c r="I248" s="14"/>
      <c r="J248" s="14"/>
      <c r="K248" s="14"/>
      <c r="L248" s="14"/>
      <c r="M248" s="34" t="str">
        <f aca="false">IF(COUNT(C248:H248)=0,"",IFERROR(MAX(0,ROUND(IF(Settings!$B$33,IF(H248="",SUM(C248:G248),H248)-SUMPRODUCT(($C$4:$G$4="Y")*C248:G248),SUMPRODUCT(($C$4:$G$4="Y")*C248:G248)),0)),"Check inputs"))</f>
        <v/>
      </c>
      <c r="N248" s="35" t="str">
        <f aca="false">IF(AND(N($M248)&gt;0,UPPER($K248)&lt;&gt;"N"),IF(Settings!$B$28,MAX(0,MIN(Settings!$B$16,IF(I248="",Settings!$B$16,I248)))/Settings!$B$15,1),"")</f>
        <v/>
      </c>
      <c r="O248" s="35" t="str">
        <f aca="false">IF(AND(N($M248)&gt;0,UPPER($K248)&lt;&gt;"N"),IF(Settings!$B$28,MAX(0,MIN(Settings!$B$17,IF(J248="",Settings!$B$17,J248)))/Settings!$B$15,0),"")</f>
        <v/>
      </c>
      <c r="P248" s="34" t="str">
        <f aca="false">IF(N248="","",ROUND(IF(Settings!$B$27,MIN($M248,Settings!$B$29),$M248)*N248,0))</f>
        <v/>
      </c>
      <c r="Q248" s="34" t="str">
        <f aca="false">IF(N248="","",ROUND(IF(Settings!$B$27,MIN($M248,Settings!$B$30),$M248)*O248,0))</f>
        <v/>
      </c>
      <c r="R248" s="34" t="str">
        <f aca="false">IF(N248="","",P248+Q248)</f>
        <v/>
      </c>
      <c r="S248" s="34" t="str">
        <f aca="false">IF(N248="","",ROUND(MIN($M248,Settings!$B$29)*N248,0)+ROUND(MIN($M248,Settings!$B$30)*O248,0))</f>
        <v/>
      </c>
      <c r="T248" s="34" t="str">
        <f aca="false">IF(N248="","",IF(UPPER(L248)="N",0,S248))</f>
        <v/>
      </c>
      <c r="U248" s="25" t="str">
        <f aca="false">IF(N248="","",ROUND(R248*Settings!$B$18,0))</f>
        <v/>
      </c>
      <c r="V248" s="25" t="str">
        <f aca="false">IF(N248="","",ROUND(R248*Settings!$B$19,0)-X248)</f>
        <v/>
      </c>
      <c r="W248" s="25" t="str">
        <f aca="false">IF(N248="","",IF(Settings!$B$31,ROUND(R248*Settings!$B$22,0),0))</f>
        <v/>
      </c>
      <c r="X248" s="25" t="str">
        <f aca="false">IF(N248="","",MIN(ROUND(T248*Settings!$B$20,0),ROUND(R248*Settings!$B$19,0)))</f>
        <v/>
      </c>
      <c r="Y248" s="25" t="str">
        <f aca="false">IF(N248="","",IF(Settings!$B$31,ROUND(S248*Settings!$B$21,0),0))</f>
        <v/>
      </c>
      <c r="Z248" s="25" t="str">
        <f aca="false">IF(N248="","",U248+V248+X248+W248+Y248)</f>
        <v/>
      </c>
      <c r="AA248" s="7" t="str">
        <f aca="false">IF(COUNT(C248:H248)=0,"",TRIM(IF(UPPER(K248)="N","Not a PF member, skipped. ","")&amp;IF(AND(UPPER(K248)&lt;&gt;"N",N(M248)&lt;=0),"PF wage is zero, skipped. ","")&amp;IF(AND(UPPER(K248)&lt;&gt;"N",N(M248)&gt;0,UPPER(L248)="N"),"Pension not applicable, whole 12% goes to EPF. ","")&amp;IF(AND(ISNUMBER(H248),ABS(SUM(C248:G248)-N(H248))&gt;1),"Heads in the file add up to "&amp;SUM(C248:G248)&amp;", Gross is "&amp;H248&amp;" (a pay head may be missing). ","")&amp;IF(AND(Settings!$B$32,N(H248)&gt;0,ISNUMBER(M248),N(M248)&lt;H248*0.5-0.5),"50% check: PF wage is "&amp;TEXT(M248/H248,"0%")&amp;" of gross. ","")&amp;IF(AND(N(M248)&gt;0,UPPER(K248)&lt;&gt;"N",N(N248)+N(O248)=0),"No days to count. ","")))</f>
        <v/>
      </c>
    </row>
    <row r="249" customFormat="false" ht="15" hidden="false" customHeight="false" outlineLevel="0" collapsed="false">
      <c r="A249" s="14"/>
      <c r="B249" s="14"/>
      <c r="C249" s="17"/>
      <c r="D249" s="17"/>
      <c r="E249" s="17"/>
      <c r="F249" s="17"/>
      <c r="G249" s="17"/>
      <c r="H249" s="17"/>
      <c r="I249" s="14"/>
      <c r="J249" s="14"/>
      <c r="K249" s="14"/>
      <c r="L249" s="14"/>
      <c r="M249" s="34" t="str">
        <f aca="false">IF(COUNT(C249:H249)=0,"",IFERROR(MAX(0,ROUND(IF(Settings!$B$33,IF(H249="",SUM(C249:G249),H249)-SUMPRODUCT(($C$4:$G$4="Y")*C249:G249),SUMPRODUCT(($C$4:$G$4="Y")*C249:G249)),0)),"Check inputs"))</f>
        <v/>
      </c>
      <c r="N249" s="35" t="str">
        <f aca="false">IF(AND(N($M249)&gt;0,UPPER($K249)&lt;&gt;"N"),IF(Settings!$B$28,MAX(0,MIN(Settings!$B$16,IF(I249="",Settings!$B$16,I249)))/Settings!$B$15,1),"")</f>
        <v/>
      </c>
      <c r="O249" s="35" t="str">
        <f aca="false">IF(AND(N($M249)&gt;0,UPPER($K249)&lt;&gt;"N"),IF(Settings!$B$28,MAX(0,MIN(Settings!$B$17,IF(J249="",Settings!$B$17,J249)))/Settings!$B$15,0),"")</f>
        <v/>
      </c>
      <c r="P249" s="34" t="str">
        <f aca="false">IF(N249="","",ROUND(IF(Settings!$B$27,MIN($M249,Settings!$B$29),$M249)*N249,0))</f>
        <v/>
      </c>
      <c r="Q249" s="34" t="str">
        <f aca="false">IF(N249="","",ROUND(IF(Settings!$B$27,MIN($M249,Settings!$B$30),$M249)*O249,0))</f>
        <v/>
      </c>
      <c r="R249" s="34" t="str">
        <f aca="false">IF(N249="","",P249+Q249)</f>
        <v/>
      </c>
      <c r="S249" s="34" t="str">
        <f aca="false">IF(N249="","",ROUND(MIN($M249,Settings!$B$29)*N249,0)+ROUND(MIN($M249,Settings!$B$30)*O249,0))</f>
        <v/>
      </c>
      <c r="T249" s="34" t="str">
        <f aca="false">IF(N249="","",IF(UPPER(L249)="N",0,S249))</f>
        <v/>
      </c>
      <c r="U249" s="25" t="str">
        <f aca="false">IF(N249="","",ROUND(R249*Settings!$B$18,0))</f>
        <v/>
      </c>
      <c r="V249" s="25" t="str">
        <f aca="false">IF(N249="","",ROUND(R249*Settings!$B$19,0)-X249)</f>
        <v/>
      </c>
      <c r="W249" s="25" t="str">
        <f aca="false">IF(N249="","",IF(Settings!$B$31,ROUND(R249*Settings!$B$22,0),0))</f>
        <v/>
      </c>
      <c r="X249" s="25" t="str">
        <f aca="false">IF(N249="","",MIN(ROUND(T249*Settings!$B$20,0),ROUND(R249*Settings!$B$19,0)))</f>
        <v/>
      </c>
      <c r="Y249" s="25" t="str">
        <f aca="false">IF(N249="","",IF(Settings!$B$31,ROUND(S249*Settings!$B$21,0),0))</f>
        <v/>
      </c>
      <c r="Z249" s="25" t="str">
        <f aca="false">IF(N249="","",U249+V249+X249+W249+Y249)</f>
        <v/>
      </c>
      <c r="AA249" s="7" t="str">
        <f aca="false">IF(COUNT(C249:H249)=0,"",TRIM(IF(UPPER(K249)="N","Not a PF member, skipped. ","")&amp;IF(AND(UPPER(K249)&lt;&gt;"N",N(M249)&lt;=0),"PF wage is zero, skipped. ","")&amp;IF(AND(UPPER(K249)&lt;&gt;"N",N(M249)&gt;0,UPPER(L249)="N"),"Pension not applicable, whole 12% goes to EPF. ","")&amp;IF(AND(ISNUMBER(H249),ABS(SUM(C249:G249)-N(H249))&gt;1),"Heads in the file add up to "&amp;SUM(C249:G249)&amp;", Gross is "&amp;H249&amp;" (a pay head may be missing). ","")&amp;IF(AND(Settings!$B$32,N(H249)&gt;0,ISNUMBER(M249),N(M249)&lt;H249*0.5-0.5),"50% check: PF wage is "&amp;TEXT(M249/H249,"0%")&amp;" of gross. ","")&amp;IF(AND(N(M249)&gt;0,UPPER(K249)&lt;&gt;"N",N(N249)+N(O249)=0),"No days to count. ","")))</f>
        <v/>
      </c>
    </row>
    <row r="250" customFormat="false" ht="15" hidden="false" customHeight="false" outlineLevel="0" collapsed="false">
      <c r="A250" s="14"/>
      <c r="B250" s="14"/>
      <c r="C250" s="17"/>
      <c r="D250" s="17"/>
      <c r="E250" s="17"/>
      <c r="F250" s="17"/>
      <c r="G250" s="17"/>
      <c r="H250" s="17"/>
      <c r="I250" s="14"/>
      <c r="J250" s="14"/>
      <c r="K250" s="14"/>
      <c r="L250" s="14"/>
      <c r="M250" s="34" t="str">
        <f aca="false">IF(COUNT(C250:H250)=0,"",IFERROR(MAX(0,ROUND(IF(Settings!$B$33,IF(H250="",SUM(C250:G250),H250)-SUMPRODUCT(($C$4:$G$4="Y")*C250:G250),SUMPRODUCT(($C$4:$G$4="Y")*C250:G250)),0)),"Check inputs"))</f>
        <v/>
      </c>
      <c r="N250" s="35" t="str">
        <f aca="false">IF(AND(N($M250)&gt;0,UPPER($K250)&lt;&gt;"N"),IF(Settings!$B$28,MAX(0,MIN(Settings!$B$16,IF(I250="",Settings!$B$16,I250)))/Settings!$B$15,1),"")</f>
        <v/>
      </c>
      <c r="O250" s="35" t="str">
        <f aca="false">IF(AND(N($M250)&gt;0,UPPER($K250)&lt;&gt;"N"),IF(Settings!$B$28,MAX(0,MIN(Settings!$B$17,IF(J250="",Settings!$B$17,J250)))/Settings!$B$15,0),"")</f>
        <v/>
      </c>
      <c r="P250" s="34" t="str">
        <f aca="false">IF(N250="","",ROUND(IF(Settings!$B$27,MIN($M250,Settings!$B$29),$M250)*N250,0))</f>
        <v/>
      </c>
      <c r="Q250" s="34" t="str">
        <f aca="false">IF(N250="","",ROUND(IF(Settings!$B$27,MIN($M250,Settings!$B$30),$M250)*O250,0))</f>
        <v/>
      </c>
      <c r="R250" s="34" t="str">
        <f aca="false">IF(N250="","",P250+Q250)</f>
        <v/>
      </c>
      <c r="S250" s="34" t="str">
        <f aca="false">IF(N250="","",ROUND(MIN($M250,Settings!$B$29)*N250,0)+ROUND(MIN($M250,Settings!$B$30)*O250,0))</f>
        <v/>
      </c>
      <c r="T250" s="34" t="str">
        <f aca="false">IF(N250="","",IF(UPPER(L250)="N",0,S250))</f>
        <v/>
      </c>
      <c r="U250" s="25" t="str">
        <f aca="false">IF(N250="","",ROUND(R250*Settings!$B$18,0))</f>
        <v/>
      </c>
      <c r="V250" s="25" t="str">
        <f aca="false">IF(N250="","",ROUND(R250*Settings!$B$19,0)-X250)</f>
        <v/>
      </c>
      <c r="W250" s="25" t="str">
        <f aca="false">IF(N250="","",IF(Settings!$B$31,ROUND(R250*Settings!$B$22,0),0))</f>
        <v/>
      </c>
      <c r="X250" s="25" t="str">
        <f aca="false">IF(N250="","",MIN(ROUND(T250*Settings!$B$20,0),ROUND(R250*Settings!$B$19,0)))</f>
        <v/>
      </c>
      <c r="Y250" s="25" t="str">
        <f aca="false">IF(N250="","",IF(Settings!$B$31,ROUND(S250*Settings!$B$21,0),0))</f>
        <v/>
      </c>
      <c r="Z250" s="25" t="str">
        <f aca="false">IF(N250="","",U250+V250+X250+W250+Y250)</f>
        <v/>
      </c>
      <c r="AA250" s="7" t="str">
        <f aca="false">IF(COUNT(C250:H250)=0,"",TRIM(IF(UPPER(K250)="N","Not a PF member, skipped. ","")&amp;IF(AND(UPPER(K250)&lt;&gt;"N",N(M250)&lt;=0),"PF wage is zero, skipped. ","")&amp;IF(AND(UPPER(K250)&lt;&gt;"N",N(M250)&gt;0,UPPER(L250)="N"),"Pension not applicable, whole 12% goes to EPF. ","")&amp;IF(AND(ISNUMBER(H250),ABS(SUM(C250:G250)-N(H250))&gt;1),"Heads in the file add up to "&amp;SUM(C250:G250)&amp;", Gross is "&amp;H250&amp;" (a pay head may be missing). ","")&amp;IF(AND(Settings!$B$32,N(H250)&gt;0,ISNUMBER(M250),N(M250)&lt;H250*0.5-0.5),"50% check: PF wage is "&amp;TEXT(M250/H250,"0%")&amp;" of gross. ","")&amp;IF(AND(N(M250)&gt;0,UPPER(K250)&lt;&gt;"N",N(N250)+N(O250)=0),"No days to count. ","")))</f>
        <v/>
      </c>
    </row>
    <row r="251" customFormat="false" ht="15" hidden="false" customHeight="false" outlineLevel="0" collapsed="false">
      <c r="A251" s="14"/>
      <c r="B251" s="14"/>
      <c r="C251" s="17"/>
      <c r="D251" s="17"/>
      <c r="E251" s="17"/>
      <c r="F251" s="17"/>
      <c r="G251" s="17"/>
      <c r="H251" s="17"/>
      <c r="I251" s="14"/>
      <c r="J251" s="14"/>
      <c r="K251" s="14"/>
      <c r="L251" s="14"/>
      <c r="M251" s="34" t="str">
        <f aca="false">IF(COUNT(C251:H251)=0,"",IFERROR(MAX(0,ROUND(IF(Settings!$B$33,IF(H251="",SUM(C251:G251),H251)-SUMPRODUCT(($C$4:$G$4="Y")*C251:G251),SUMPRODUCT(($C$4:$G$4="Y")*C251:G251)),0)),"Check inputs"))</f>
        <v/>
      </c>
      <c r="N251" s="35" t="str">
        <f aca="false">IF(AND(N($M251)&gt;0,UPPER($K251)&lt;&gt;"N"),IF(Settings!$B$28,MAX(0,MIN(Settings!$B$16,IF(I251="",Settings!$B$16,I251)))/Settings!$B$15,1),"")</f>
        <v/>
      </c>
      <c r="O251" s="35" t="str">
        <f aca="false">IF(AND(N($M251)&gt;0,UPPER($K251)&lt;&gt;"N"),IF(Settings!$B$28,MAX(0,MIN(Settings!$B$17,IF(J251="",Settings!$B$17,J251)))/Settings!$B$15,0),"")</f>
        <v/>
      </c>
      <c r="P251" s="34" t="str">
        <f aca="false">IF(N251="","",ROUND(IF(Settings!$B$27,MIN($M251,Settings!$B$29),$M251)*N251,0))</f>
        <v/>
      </c>
      <c r="Q251" s="34" t="str">
        <f aca="false">IF(N251="","",ROUND(IF(Settings!$B$27,MIN($M251,Settings!$B$30),$M251)*O251,0))</f>
        <v/>
      </c>
      <c r="R251" s="34" t="str">
        <f aca="false">IF(N251="","",P251+Q251)</f>
        <v/>
      </c>
      <c r="S251" s="34" t="str">
        <f aca="false">IF(N251="","",ROUND(MIN($M251,Settings!$B$29)*N251,0)+ROUND(MIN($M251,Settings!$B$30)*O251,0))</f>
        <v/>
      </c>
      <c r="T251" s="34" t="str">
        <f aca="false">IF(N251="","",IF(UPPER(L251)="N",0,S251))</f>
        <v/>
      </c>
      <c r="U251" s="25" t="str">
        <f aca="false">IF(N251="","",ROUND(R251*Settings!$B$18,0))</f>
        <v/>
      </c>
      <c r="V251" s="25" t="str">
        <f aca="false">IF(N251="","",ROUND(R251*Settings!$B$19,0)-X251)</f>
        <v/>
      </c>
      <c r="W251" s="25" t="str">
        <f aca="false">IF(N251="","",IF(Settings!$B$31,ROUND(R251*Settings!$B$22,0),0))</f>
        <v/>
      </c>
      <c r="X251" s="25" t="str">
        <f aca="false">IF(N251="","",MIN(ROUND(T251*Settings!$B$20,0),ROUND(R251*Settings!$B$19,0)))</f>
        <v/>
      </c>
      <c r="Y251" s="25" t="str">
        <f aca="false">IF(N251="","",IF(Settings!$B$31,ROUND(S251*Settings!$B$21,0),0))</f>
        <v/>
      </c>
      <c r="Z251" s="25" t="str">
        <f aca="false">IF(N251="","",U251+V251+X251+W251+Y251)</f>
        <v/>
      </c>
      <c r="AA251" s="7" t="str">
        <f aca="false">IF(COUNT(C251:H251)=0,"",TRIM(IF(UPPER(K251)="N","Not a PF member, skipped. ","")&amp;IF(AND(UPPER(K251)&lt;&gt;"N",N(M251)&lt;=0),"PF wage is zero, skipped. ","")&amp;IF(AND(UPPER(K251)&lt;&gt;"N",N(M251)&gt;0,UPPER(L251)="N"),"Pension not applicable, whole 12% goes to EPF. ","")&amp;IF(AND(ISNUMBER(H251),ABS(SUM(C251:G251)-N(H251))&gt;1),"Heads in the file add up to "&amp;SUM(C251:G251)&amp;", Gross is "&amp;H251&amp;" (a pay head may be missing). ","")&amp;IF(AND(Settings!$B$32,N(H251)&gt;0,ISNUMBER(M251),N(M251)&lt;H251*0.5-0.5),"50% check: PF wage is "&amp;TEXT(M251/H251,"0%")&amp;" of gross. ","")&amp;IF(AND(N(M251)&gt;0,UPPER(K251)&lt;&gt;"N",N(N251)+N(O251)=0),"No days to count. ","")))</f>
        <v/>
      </c>
    </row>
    <row r="252" customFormat="false" ht="15" hidden="false" customHeight="false" outlineLevel="0" collapsed="false">
      <c r="A252" s="14"/>
      <c r="B252" s="14"/>
      <c r="C252" s="17"/>
      <c r="D252" s="17"/>
      <c r="E252" s="17"/>
      <c r="F252" s="17"/>
      <c r="G252" s="17"/>
      <c r="H252" s="17"/>
      <c r="I252" s="14"/>
      <c r="J252" s="14"/>
      <c r="K252" s="14"/>
      <c r="L252" s="14"/>
      <c r="M252" s="34" t="str">
        <f aca="false">IF(COUNT(C252:H252)=0,"",IFERROR(MAX(0,ROUND(IF(Settings!$B$33,IF(H252="",SUM(C252:G252),H252)-SUMPRODUCT(($C$4:$G$4="Y")*C252:G252),SUMPRODUCT(($C$4:$G$4="Y")*C252:G252)),0)),"Check inputs"))</f>
        <v/>
      </c>
      <c r="N252" s="35" t="str">
        <f aca="false">IF(AND(N($M252)&gt;0,UPPER($K252)&lt;&gt;"N"),IF(Settings!$B$28,MAX(0,MIN(Settings!$B$16,IF(I252="",Settings!$B$16,I252)))/Settings!$B$15,1),"")</f>
        <v/>
      </c>
      <c r="O252" s="35" t="str">
        <f aca="false">IF(AND(N($M252)&gt;0,UPPER($K252)&lt;&gt;"N"),IF(Settings!$B$28,MAX(0,MIN(Settings!$B$17,IF(J252="",Settings!$B$17,J252)))/Settings!$B$15,0),"")</f>
        <v/>
      </c>
      <c r="P252" s="34" t="str">
        <f aca="false">IF(N252="","",ROUND(IF(Settings!$B$27,MIN($M252,Settings!$B$29),$M252)*N252,0))</f>
        <v/>
      </c>
      <c r="Q252" s="34" t="str">
        <f aca="false">IF(N252="","",ROUND(IF(Settings!$B$27,MIN($M252,Settings!$B$30),$M252)*O252,0))</f>
        <v/>
      </c>
      <c r="R252" s="34" t="str">
        <f aca="false">IF(N252="","",P252+Q252)</f>
        <v/>
      </c>
      <c r="S252" s="34" t="str">
        <f aca="false">IF(N252="","",ROUND(MIN($M252,Settings!$B$29)*N252,0)+ROUND(MIN($M252,Settings!$B$30)*O252,0))</f>
        <v/>
      </c>
      <c r="T252" s="34" t="str">
        <f aca="false">IF(N252="","",IF(UPPER(L252)="N",0,S252))</f>
        <v/>
      </c>
      <c r="U252" s="25" t="str">
        <f aca="false">IF(N252="","",ROUND(R252*Settings!$B$18,0))</f>
        <v/>
      </c>
      <c r="V252" s="25" t="str">
        <f aca="false">IF(N252="","",ROUND(R252*Settings!$B$19,0)-X252)</f>
        <v/>
      </c>
      <c r="W252" s="25" t="str">
        <f aca="false">IF(N252="","",IF(Settings!$B$31,ROUND(R252*Settings!$B$22,0),0))</f>
        <v/>
      </c>
      <c r="X252" s="25" t="str">
        <f aca="false">IF(N252="","",MIN(ROUND(T252*Settings!$B$20,0),ROUND(R252*Settings!$B$19,0)))</f>
        <v/>
      </c>
      <c r="Y252" s="25" t="str">
        <f aca="false">IF(N252="","",IF(Settings!$B$31,ROUND(S252*Settings!$B$21,0),0))</f>
        <v/>
      </c>
      <c r="Z252" s="25" t="str">
        <f aca="false">IF(N252="","",U252+V252+X252+W252+Y252)</f>
        <v/>
      </c>
      <c r="AA252" s="7" t="str">
        <f aca="false">IF(COUNT(C252:H252)=0,"",TRIM(IF(UPPER(K252)="N","Not a PF member, skipped. ","")&amp;IF(AND(UPPER(K252)&lt;&gt;"N",N(M252)&lt;=0),"PF wage is zero, skipped. ","")&amp;IF(AND(UPPER(K252)&lt;&gt;"N",N(M252)&gt;0,UPPER(L252)="N"),"Pension not applicable, whole 12% goes to EPF. ","")&amp;IF(AND(ISNUMBER(H252),ABS(SUM(C252:G252)-N(H252))&gt;1),"Heads in the file add up to "&amp;SUM(C252:G252)&amp;", Gross is "&amp;H252&amp;" (a pay head may be missing). ","")&amp;IF(AND(Settings!$B$32,N(H252)&gt;0,ISNUMBER(M252),N(M252)&lt;H252*0.5-0.5),"50% check: PF wage is "&amp;TEXT(M252/H252,"0%")&amp;" of gross. ","")&amp;IF(AND(N(M252)&gt;0,UPPER(K252)&lt;&gt;"N",N(N252)+N(O252)=0),"No days to count. ","")))</f>
        <v/>
      </c>
    </row>
    <row r="253" customFormat="false" ht="15" hidden="false" customHeight="false" outlineLevel="0" collapsed="false">
      <c r="A253" s="14"/>
      <c r="B253" s="14"/>
      <c r="C253" s="17"/>
      <c r="D253" s="17"/>
      <c r="E253" s="17"/>
      <c r="F253" s="17"/>
      <c r="G253" s="17"/>
      <c r="H253" s="17"/>
      <c r="I253" s="14"/>
      <c r="J253" s="14"/>
      <c r="K253" s="14"/>
      <c r="L253" s="14"/>
      <c r="M253" s="34" t="str">
        <f aca="false">IF(COUNT(C253:H253)=0,"",IFERROR(MAX(0,ROUND(IF(Settings!$B$33,IF(H253="",SUM(C253:G253),H253)-SUMPRODUCT(($C$4:$G$4="Y")*C253:G253),SUMPRODUCT(($C$4:$G$4="Y")*C253:G253)),0)),"Check inputs"))</f>
        <v/>
      </c>
      <c r="N253" s="35" t="str">
        <f aca="false">IF(AND(N($M253)&gt;0,UPPER($K253)&lt;&gt;"N"),IF(Settings!$B$28,MAX(0,MIN(Settings!$B$16,IF(I253="",Settings!$B$16,I253)))/Settings!$B$15,1),"")</f>
        <v/>
      </c>
      <c r="O253" s="35" t="str">
        <f aca="false">IF(AND(N($M253)&gt;0,UPPER($K253)&lt;&gt;"N"),IF(Settings!$B$28,MAX(0,MIN(Settings!$B$17,IF(J253="",Settings!$B$17,J253)))/Settings!$B$15,0),"")</f>
        <v/>
      </c>
      <c r="P253" s="34" t="str">
        <f aca="false">IF(N253="","",ROUND(IF(Settings!$B$27,MIN($M253,Settings!$B$29),$M253)*N253,0))</f>
        <v/>
      </c>
      <c r="Q253" s="34" t="str">
        <f aca="false">IF(N253="","",ROUND(IF(Settings!$B$27,MIN($M253,Settings!$B$30),$M253)*O253,0))</f>
        <v/>
      </c>
      <c r="R253" s="34" t="str">
        <f aca="false">IF(N253="","",P253+Q253)</f>
        <v/>
      </c>
      <c r="S253" s="34" t="str">
        <f aca="false">IF(N253="","",ROUND(MIN($M253,Settings!$B$29)*N253,0)+ROUND(MIN($M253,Settings!$B$30)*O253,0))</f>
        <v/>
      </c>
      <c r="T253" s="34" t="str">
        <f aca="false">IF(N253="","",IF(UPPER(L253)="N",0,S253))</f>
        <v/>
      </c>
      <c r="U253" s="25" t="str">
        <f aca="false">IF(N253="","",ROUND(R253*Settings!$B$18,0))</f>
        <v/>
      </c>
      <c r="V253" s="25" t="str">
        <f aca="false">IF(N253="","",ROUND(R253*Settings!$B$19,0)-X253)</f>
        <v/>
      </c>
      <c r="W253" s="25" t="str">
        <f aca="false">IF(N253="","",IF(Settings!$B$31,ROUND(R253*Settings!$B$22,0),0))</f>
        <v/>
      </c>
      <c r="X253" s="25" t="str">
        <f aca="false">IF(N253="","",MIN(ROUND(T253*Settings!$B$20,0),ROUND(R253*Settings!$B$19,0)))</f>
        <v/>
      </c>
      <c r="Y253" s="25" t="str">
        <f aca="false">IF(N253="","",IF(Settings!$B$31,ROUND(S253*Settings!$B$21,0),0))</f>
        <v/>
      </c>
      <c r="Z253" s="25" t="str">
        <f aca="false">IF(N253="","",U253+V253+X253+W253+Y253)</f>
        <v/>
      </c>
      <c r="AA253" s="7" t="str">
        <f aca="false">IF(COUNT(C253:H253)=0,"",TRIM(IF(UPPER(K253)="N","Not a PF member, skipped. ","")&amp;IF(AND(UPPER(K253)&lt;&gt;"N",N(M253)&lt;=0),"PF wage is zero, skipped. ","")&amp;IF(AND(UPPER(K253)&lt;&gt;"N",N(M253)&gt;0,UPPER(L253)="N"),"Pension not applicable, whole 12% goes to EPF. ","")&amp;IF(AND(ISNUMBER(H253),ABS(SUM(C253:G253)-N(H253))&gt;1),"Heads in the file add up to "&amp;SUM(C253:G253)&amp;", Gross is "&amp;H253&amp;" (a pay head may be missing). ","")&amp;IF(AND(Settings!$B$32,N(H253)&gt;0,ISNUMBER(M253),N(M253)&lt;H253*0.5-0.5),"50% check: PF wage is "&amp;TEXT(M253/H253,"0%")&amp;" of gross. ","")&amp;IF(AND(N(M253)&gt;0,UPPER(K253)&lt;&gt;"N",N(N253)+N(O253)=0),"No days to count. ","")))</f>
        <v/>
      </c>
    </row>
    <row r="254" customFormat="false" ht="15" hidden="false" customHeight="false" outlineLevel="0" collapsed="false">
      <c r="A254" s="14"/>
      <c r="B254" s="14"/>
      <c r="C254" s="17"/>
      <c r="D254" s="17"/>
      <c r="E254" s="17"/>
      <c r="F254" s="17"/>
      <c r="G254" s="17"/>
      <c r="H254" s="17"/>
      <c r="I254" s="14"/>
      <c r="J254" s="14"/>
      <c r="K254" s="14"/>
      <c r="L254" s="14"/>
      <c r="M254" s="34" t="str">
        <f aca="false">IF(COUNT(C254:H254)=0,"",IFERROR(MAX(0,ROUND(IF(Settings!$B$33,IF(H254="",SUM(C254:G254),H254)-SUMPRODUCT(($C$4:$G$4="Y")*C254:G254),SUMPRODUCT(($C$4:$G$4="Y")*C254:G254)),0)),"Check inputs"))</f>
        <v/>
      </c>
      <c r="N254" s="35" t="str">
        <f aca="false">IF(AND(N($M254)&gt;0,UPPER($K254)&lt;&gt;"N"),IF(Settings!$B$28,MAX(0,MIN(Settings!$B$16,IF(I254="",Settings!$B$16,I254)))/Settings!$B$15,1),"")</f>
        <v/>
      </c>
      <c r="O254" s="35" t="str">
        <f aca="false">IF(AND(N($M254)&gt;0,UPPER($K254)&lt;&gt;"N"),IF(Settings!$B$28,MAX(0,MIN(Settings!$B$17,IF(J254="",Settings!$B$17,J254)))/Settings!$B$15,0),"")</f>
        <v/>
      </c>
      <c r="P254" s="34" t="str">
        <f aca="false">IF(N254="","",ROUND(IF(Settings!$B$27,MIN($M254,Settings!$B$29),$M254)*N254,0))</f>
        <v/>
      </c>
      <c r="Q254" s="34" t="str">
        <f aca="false">IF(N254="","",ROUND(IF(Settings!$B$27,MIN($M254,Settings!$B$30),$M254)*O254,0))</f>
        <v/>
      </c>
      <c r="R254" s="34" t="str">
        <f aca="false">IF(N254="","",P254+Q254)</f>
        <v/>
      </c>
      <c r="S254" s="34" t="str">
        <f aca="false">IF(N254="","",ROUND(MIN($M254,Settings!$B$29)*N254,0)+ROUND(MIN($M254,Settings!$B$30)*O254,0))</f>
        <v/>
      </c>
      <c r="T254" s="34" t="str">
        <f aca="false">IF(N254="","",IF(UPPER(L254)="N",0,S254))</f>
        <v/>
      </c>
      <c r="U254" s="25" t="str">
        <f aca="false">IF(N254="","",ROUND(R254*Settings!$B$18,0))</f>
        <v/>
      </c>
      <c r="V254" s="25" t="str">
        <f aca="false">IF(N254="","",ROUND(R254*Settings!$B$19,0)-X254)</f>
        <v/>
      </c>
      <c r="W254" s="25" t="str">
        <f aca="false">IF(N254="","",IF(Settings!$B$31,ROUND(R254*Settings!$B$22,0),0))</f>
        <v/>
      </c>
      <c r="X254" s="25" t="str">
        <f aca="false">IF(N254="","",MIN(ROUND(T254*Settings!$B$20,0),ROUND(R254*Settings!$B$19,0)))</f>
        <v/>
      </c>
      <c r="Y254" s="25" t="str">
        <f aca="false">IF(N254="","",IF(Settings!$B$31,ROUND(S254*Settings!$B$21,0),0))</f>
        <v/>
      </c>
      <c r="Z254" s="25" t="str">
        <f aca="false">IF(N254="","",U254+V254+X254+W254+Y254)</f>
        <v/>
      </c>
      <c r="AA254" s="7" t="str">
        <f aca="false">IF(COUNT(C254:H254)=0,"",TRIM(IF(UPPER(K254)="N","Not a PF member, skipped. ","")&amp;IF(AND(UPPER(K254)&lt;&gt;"N",N(M254)&lt;=0),"PF wage is zero, skipped. ","")&amp;IF(AND(UPPER(K254)&lt;&gt;"N",N(M254)&gt;0,UPPER(L254)="N"),"Pension not applicable, whole 12% goes to EPF. ","")&amp;IF(AND(ISNUMBER(H254),ABS(SUM(C254:G254)-N(H254))&gt;1),"Heads in the file add up to "&amp;SUM(C254:G254)&amp;", Gross is "&amp;H254&amp;" (a pay head may be missing). ","")&amp;IF(AND(Settings!$B$32,N(H254)&gt;0,ISNUMBER(M254),N(M254)&lt;H254*0.5-0.5),"50% check: PF wage is "&amp;TEXT(M254/H254,"0%")&amp;" of gross. ","")&amp;IF(AND(N(M254)&gt;0,UPPER(K254)&lt;&gt;"N",N(N254)+N(O254)=0),"No days to count. ","")))</f>
        <v/>
      </c>
    </row>
    <row r="255" customFormat="false" ht="15" hidden="false" customHeight="false" outlineLevel="0" collapsed="false">
      <c r="A255" s="14"/>
      <c r="B255" s="14"/>
      <c r="C255" s="17"/>
      <c r="D255" s="17"/>
      <c r="E255" s="17"/>
      <c r="F255" s="17"/>
      <c r="G255" s="17"/>
      <c r="H255" s="17"/>
      <c r="I255" s="14"/>
      <c r="J255" s="14"/>
      <c r="K255" s="14"/>
      <c r="L255" s="14"/>
      <c r="M255" s="34" t="str">
        <f aca="false">IF(COUNT(C255:H255)=0,"",IFERROR(MAX(0,ROUND(IF(Settings!$B$33,IF(H255="",SUM(C255:G255),H255)-SUMPRODUCT(($C$4:$G$4="Y")*C255:G255),SUMPRODUCT(($C$4:$G$4="Y")*C255:G255)),0)),"Check inputs"))</f>
        <v/>
      </c>
      <c r="N255" s="35" t="str">
        <f aca="false">IF(AND(N($M255)&gt;0,UPPER($K255)&lt;&gt;"N"),IF(Settings!$B$28,MAX(0,MIN(Settings!$B$16,IF(I255="",Settings!$B$16,I255)))/Settings!$B$15,1),"")</f>
        <v/>
      </c>
      <c r="O255" s="35" t="str">
        <f aca="false">IF(AND(N($M255)&gt;0,UPPER($K255)&lt;&gt;"N"),IF(Settings!$B$28,MAX(0,MIN(Settings!$B$17,IF(J255="",Settings!$B$17,J255)))/Settings!$B$15,0),"")</f>
        <v/>
      </c>
      <c r="P255" s="34" t="str">
        <f aca="false">IF(N255="","",ROUND(IF(Settings!$B$27,MIN($M255,Settings!$B$29),$M255)*N255,0))</f>
        <v/>
      </c>
      <c r="Q255" s="34" t="str">
        <f aca="false">IF(N255="","",ROUND(IF(Settings!$B$27,MIN($M255,Settings!$B$30),$M255)*O255,0))</f>
        <v/>
      </c>
      <c r="R255" s="34" t="str">
        <f aca="false">IF(N255="","",P255+Q255)</f>
        <v/>
      </c>
      <c r="S255" s="34" t="str">
        <f aca="false">IF(N255="","",ROUND(MIN($M255,Settings!$B$29)*N255,0)+ROUND(MIN($M255,Settings!$B$30)*O255,0))</f>
        <v/>
      </c>
      <c r="T255" s="34" t="str">
        <f aca="false">IF(N255="","",IF(UPPER(L255)="N",0,S255))</f>
        <v/>
      </c>
      <c r="U255" s="25" t="str">
        <f aca="false">IF(N255="","",ROUND(R255*Settings!$B$18,0))</f>
        <v/>
      </c>
      <c r="V255" s="25" t="str">
        <f aca="false">IF(N255="","",ROUND(R255*Settings!$B$19,0)-X255)</f>
        <v/>
      </c>
      <c r="W255" s="25" t="str">
        <f aca="false">IF(N255="","",IF(Settings!$B$31,ROUND(R255*Settings!$B$22,0),0))</f>
        <v/>
      </c>
      <c r="X255" s="25" t="str">
        <f aca="false">IF(N255="","",MIN(ROUND(T255*Settings!$B$20,0),ROUND(R255*Settings!$B$19,0)))</f>
        <v/>
      </c>
      <c r="Y255" s="25" t="str">
        <f aca="false">IF(N255="","",IF(Settings!$B$31,ROUND(S255*Settings!$B$21,0),0))</f>
        <v/>
      </c>
      <c r="Z255" s="25" t="str">
        <f aca="false">IF(N255="","",U255+V255+X255+W255+Y255)</f>
        <v/>
      </c>
      <c r="AA255" s="7" t="str">
        <f aca="false">IF(COUNT(C255:H255)=0,"",TRIM(IF(UPPER(K255)="N","Not a PF member, skipped. ","")&amp;IF(AND(UPPER(K255)&lt;&gt;"N",N(M255)&lt;=0),"PF wage is zero, skipped. ","")&amp;IF(AND(UPPER(K255)&lt;&gt;"N",N(M255)&gt;0,UPPER(L255)="N"),"Pension not applicable, whole 12% goes to EPF. ","")&amp;IF(AND(ISNUMBER(H255),ABS(SUM(C255:G255)-N(H255))&gt;1),"Heads in the file add up to "&amp;SUM(C255:G255)&amp;", Gross is "&amp;H255&amp;" (a pay head may be missing). ","")&amp;IF(AND(Settings!$B$32,N(H255)&gt;0,ISNUMBER(M255),N(M255)&lt;H255*0.5-0.5),"50% check: PF wage is "&amp;TEXT(M255/H255,"0%")&amp;" of gross. ","")&amp;IF(AND(N(M255)&gt;0,UPPER(K255)&lt;&gt;"N",N(N255)+N(O255)=0),"No days to count. ","")))</f>
        <v/>
      </c>
    </row>
    <row r="256" customFormat="false" ht="15" hidden="false" customHeight="false" outlineLevel="0" collapsed="false">
      <c r="A256" s="14"/>
      <c r="B256" s="14"/>
      <c r="C256" s="17"/>
      <c r="D256" s="17"/>
      <c r="E256" s="17"/>
      <c r="F256" s="17"/>
      <c r="G256" s="17"/>
      <c r="H256" s="17"/>
      <c r="I256" s="14"/>
      <c r="J256" s="14"/>
      <c r="K256" s="14"/>
      <c r="L256" s="14"/>
      <c r="M256" s="34" t="str">
        <f aca="false">IF(COUNT(C256:H256)=0,"",IFERROR(MAX(0,ROUND(IF(Settings!$B$33,IF(H256="",SUM(C256:G256),H256)-SUMPRODUCT(($C$4:$G$4="Y")*C256:G256),SUMPRODUCT(($C$4:$G$4="Y")*C256:G256)),0)),"Check inputs"))</f>
        <v/>
      </c>
      <c r="N256" s="35" t="str">
        <f aca="false">IF(AND(N($M256)&gt;0,UPPER($K256)&lt;&gt;"N"),IF(Settings!$B$28,MAX(0,MIN(Settings!$B$16,IF(I256="",Settings!$B$16,I256)))/Settings!$B$15,1),"")</f>
        <v/>
      </c>
      <c r="O256" s="35" t="str">
        <f aca="false">IF(AND(N($M256)&gt;0,UPPER($K256)&lt;&gt;"N"),IF(Settings!$B$28,MAX(0,MIN(Settings!$B$17,IF(J256="",Settings!$B$17,J256)))/Settings!$B$15,0),"")</f>
        <v/>
      </c>
      <c r="P256" s="34" t="str">
        <f aca="false">IF(N256="","",ROUND(IF(Settings!$B$27,MIN($M256,Settings!$B$29),$M256)*N256,0))</f>
        <v/>
      </c>
      <c r="Q256" s="34" t="str">
        <f aca="false">IF(N256="","",ROUND(IF(Settings!$B$27,MIN($M256,Settings!$B$30),$M256)*O256,0))</f>
        <v/>
      </c>
      <c r="R256" s="34" t="str">
        <f aca="false">IF(N256="","",P256+Q256)</f>
        <v/>
      </c>
      <c r="S256" s="34" t="str">
        <f aca="false">IF(N256="","",ROUND(MIN($M256,Settings!$B$29)*N256,0)+ROUND(MIN($M256,Settings!$B$30)*O256,0))</f>
        <v/>
      </c>
      <c r="T256" s="34" t="str">
        <f aca="false">IF(N256="","",IF(UPPER(L256)="N",0,S256))</f>
        <v/>
      </c>
      <c r="U256" s="25" t="str">
        <f aca="false">IF(N256="","",ROUND(R256*Settings!$B$18,0))</f>
        <v/>
      </c>
      <c r="V256" s="25" t="str">
        <f aca="false">IF(N256="","",ROUND(R256*Settings!$B$19,0)-X256)</f>
        <v/>
      </c>
      <c r="W256" s="25" t="str">
        <f aca="false">IF(N256="","",IF(Settings!$B$31,ROUND(R256*Settings!$B$22,0),0))</f>
        <v/>
      </c>
      <c r="X256" s="25" t="str">
        <f aca="false">IF(N256="","",MIN(ROUND(T256*Settings!$B$20,0),ROUND(R256*Settings!$B$19,0)))</f>
        <v/>
      </c>
      <c r="Y256" s="25" t="str">
        <f aca="false">IF(N256="","",IF(Settings!$B$31,ROUND(S256*Settings!$B$21,0),0))</f>
        <v/>
      </c>
      <c r="Z256" s="25" t="str">
        <f aca="false">IF(N256="","",U256+V256+X256+W256+Y256)</f>
        <v/>
      </c>
      <c r="AA256" s="7" t="str">
        <f aca="false">IF(COUNT(C256:H256)=0,"",TRIM(IF(UPPER(K256)="N","Not a PF member, skipped. ","")&amp;IF(AND(UPPER(K256)&lt;&gt;"N",N(M256)&lt;=0),"PF wage is zero, skipped. ","")&amp;IF(AND(UPPER(K256)&lt;&gt;"N",N(M256)&gt;0,UPPER(L256)="N"),"Pension not applicable, whole 12% goes to EPF. ","")&amp;IF(AND(ISNUMBER(H256),ABS(SUM(C256:G256)-N(H256))&gt;1),"Heads in the file add up to "&amp;SUM(C256:G256)&amp;", Gross is "&amp;H256&amp;" (a pay head may be missing). ","")&amp;IF(AND(Settings!$B$32,N(H256)&gt;0,ISNUMBER(M256),N(M256)&lt;H256*0.5-0.5),"50% check: PF wage is "&amp;TEXT(M256/H256,"0%")&amp;" of gross. ","")&amp;IF(AND(N(M256)&gt;0,UPPER(K256)&lt;&gt;"N",N(N256)+N(O256)=0),"No days to count. ","")))</f>
        <v/>
      </c>
    </row>
    <row r="257" customFormat="false" ht="15" hidden="false" customHeight="false" outlineLevel="0" collapsed="false">
      <c r="A257" s="14"/>
      <c r="B257" s="14"/>
      <c r="C257" s="17"/>
      <c r="D257" s="17"/>
      <c r="E257" s="17"/>
      <c r="F257" s="17"/>
      <c r="G257" s="17"/>
      <c r="H257" s="17"/>
      <c r="I257" s="14"/>
      <c r="J257" s="14"/>
      <c r="K257" s="14"/>
      <c r="L257" s="14"/>
      <c r="M257" s="34" t="str">
        <f aca="false">IF(COUNT(C257:H257)=0,"",IFERROR(MAX(0,ROUND(IF(Settings!$B$33,IF(H257="",SUM(C257:G257),H257)-SUMPRODUCT(($C$4:$G$4="Y")*C257:G257),SUMPRODUCT(($C$4:$G$4="Y")*C257:G257)),0)),"Check inputs"))</f>
        <v/>
      </c>
      <c r="N257" s="35" t="str">
        <f aca="false">IF(AND(N($M257)&gt;0,UPPER($K257)&lt;&gt;"N"),IF(Settings!$B$28,MAX(0,MIN(Settings!$B$16,IF(I257="",Settings!$B$16,I257)))/Settings!$B$15,1),"")</f>
        <v/>
      </c>
      <c r="O257" s="35" t="str">
        <f aca="false">IF(AND(N($M257)&gt;0,UPPER($K257)&lt;&gt;"N"),IF(Settings!$B$28,MAX(0,MIN(Settings!$B$17,IF(J257="",Settings!$B$17,J257)))/Settings!$B$15,0),"")</f>
        <v/>
      </c>
      <c r="P257" s="34" t="str">
        <f aca="false">IF(N257="","",ROUND(IF(Settings!$B$27,MIN($M257,Settings!$B$29),$M257)*N257,0))</f>
        <v/>
      </c>
      <c r="Q257" s="34" t="str">
        <f aca="false">IF(N257="","",ROUND(IF(Settings!$B$27,MIN($M257,Settings!$B$30),$M257)*O257,0))</f>
        <v/>
      </c>
      <c r="R257" s="34" t="str">
        <f aca="false">IF(N257="","",P257+Q257)</f>
        <v/>
      </c>
      <c r="S257" s="34" t="str">
        <f aca="false">IF(N257="","",ROUND(MIN($M257,Settings!$B$29)*N257,0)+ROUND(MIN($M257,Settings!$B$30)*O257,0))</f>
        <v/>
      </c>
      <c r="T257" s="34" t="str">
        <f aca="false">IF(N257="","",IF(UPPER(L257)="N",0,S257))</f>
        <v/>
      </c>
      <c r="U257" s="25" t="str">
        <f aca="false">IF(N257="","",ROUND(R257*Settings!$B$18,0))</f>
        <v/>
      </c>
      <c r="V257" s="25" t="str">
        <f aca="false">IF(N257="","",ROUND(R257*Settings!$B$19,0)-X257)</f>
        <v/>
      </c>
      <c r="W257" s="25" t="str">
        <f aca="false">IF(N257="","",IF(Settings!$B$31,ROUND(R257*Settings!$B$22,0),0))</f>
        <v/>
      </c>
      <c r="X257" s="25" t="str">
        <f aca="false">IF(N257="","",MIN(ROUND(T257*Settings!$B$20,0),ROUND(R257*Settings!$B$19,0)))</f>
        <v/>
      </c>
      <c r="Y257" s="25" t="str">
        <f aca="false">IF(N257="","",IF(Settings!$B$31,ROUND(S257*Settings!$B$21,0),0))</f>
        <v/>
      </c>
      <c r="Z257" s="25" t="str">
        <f aca="false">IF(N257="","",U257+V257+X257+W257+Y257)</f>
        <v/>
      </c>
      <c r="AA257" s="7" t="str">
        <f aca="false">IF(COUNT(C257:H257)=0,"",TRIM(IF(UPPER(K257)="N","Not a PF member, skipped. ","")&amp;IF(AND(UPPER(K257)&lt;&gt;"N",N(M257)&lt;=0),"PF wage is zero, skipped. ","")&amp;IF(AND(UPPER(K257)&lt;&gt;"N",N(M257)&gt;0,UPPER(L257)="N"),"Pension not applicable, whole 12% goes to EPF. ","")&amp;IF(AND(ISNUMBER(H257),ABS(SUM(C257:G257)-N(H257))&gt;1),"Heads in the file add up to "&amp;SUM(C257:G257)&amp;", Gross is "&amp;H257&amp;" (a pay head may be missing). ","")&amp;IF(AND(Settings!$B$32,N(H257)&gt;0,ISNUMBER(M257),N(M257)&lt;H257*0.5-0.5),"50% check: PF wage is "&amp;TEXT(M257/H257,"0%")&amp;" of gross. ","")&amp;IF(AND(N(M257)&gt;0,UPPER(K257)&lt;&gt;"N",N(N257)+N(O257)=0),"No days to count. ","")))</f>
        <v/>
      </c>
    </row>
    <row r="258" customFormat="false" ht="15" hidden="false" customHeight="false" outlineLevel="0" collapsed="false">
      <c r="A258" s="14"/>
      <c r="B258" s="14"/>
      <c r="C258" s="17"/>
      <c r="D258" s="17"/>
      <c r="E258" s="17"/>
      <c r="F258" s="17"/>
      <c r="G258" s="17"/>
      <c r="H258" s="17"/>
      <c r="I258" s="14"/>
      <c r="J258" s="14"/>
      <c r="K258" s="14"/>
      <c r="L258" s="14"/>
      <c r="M258" s="34" t="str">
        <f aca="false">IF(COUNT(C258:H258)=0,"",IFERROR(MAX(0,ROUND(IF(Settings!$B$33,IF(H258="",SUM(C258:G258),H258)-SUMPRODUCT(($C$4:$G$4="Y")*C258:G258),SUMPRODUCT(($C$4:$G$4="Y")*C258:G258)),0)),"Check inputs"))</f>
        <v/>
      </c>
      <c r="N258" s="35" t="str">
        <f aca="false">IF(AND(N($M258)&gt;0,UPPER($K258)&lt;&gt;"N"),IF(Settings!$B$28,MAX(0,MIN(Settings!$B$16,IF(I258="",Settings!$B$16,I258)))/Settings!$B$15,1),"")</f>
        <v/>
      </c>
      <c r="O258" s="35" t="str">
        <f aca="false">IF(AND(N($M258)&gt;0,UPPER($K258)&lt;&gt;"N"),IF(Settings!$B$28,MAX(0,MIN(Settings!$B$17,IF(J258="",Settings!$B$17,J258)))/Settings!$B$15,0),"")</f>
        <v/>
      </c>
      <c r="P258" s="34" t="str">
        <f aca="false">IF(N258="","",ROUND(IF(Settings!$B$27,MIN($M258,Settings!$B$29),$M258)*N258,0))</f>
        <v/>
      </c>
      <c r="Q258" s="34" t="str">
        <f aca="false">IF(N258="","",ROUND(IF(Settings!$B$27,MIN($M258,Settings!$B$30),$M258)*O258,0))</f>
        <v/>
      </c>
      <c r="R258" s="34" t="str">
        <f aca="false">IF(N258="","",P258+Q258)</f>
        <v/>
      </c>
      <c r="S258" s="34" t="str">
        <f aca="false">IF(N258="","",ROUND(MIN($M258,Settings!$B$29)*N258,0)+ROUND(MIN($M258,Settings!$B$30)*O258,0))</f>
        <v/>
      </c>
      <c r="T258" s="34" t="str">
        <f aca="false">IF(N258="","",IF(UPPER(L258)="N",0,S258))</f>
        <v/>
      </c>
      <c r="U258" s="25" t="str">
        <f aca="false">IF(N258="","",ROUND(R258*Settings!$B$18,0))</f>
        <v/>
      </c>
      <c r="V258" s="25" t="str">
        <f aca="false">IF(N258="","",ROUND(R258*Settings!$B$19,0)-X258)</f>
        <v/>
      </c>
      <c r="W258" s="25" t="str">
        <f aca="false">IF(N258="","",IF(Settings!$B$31,ROUND(R258*Settings!$B$22,0),0))</f>
        <v/>
      </c>
      <c r="X258" s="25" t="str">
        <f aca="false">IF(N258="","",MIN(ROUND(T258*Settings!$B$20,0),ROUND(R258*Settings!$B$19,0)))</f>
        <v/>
      </c>
      <c r="Y258" s="25" t="str">
        <f aca="false">IF(N258="","",IF(Settings!$B$31,ROUND(S258*Settings!$B$21,0),0))</f>
        <v/>
      </c>
      <c r="Z258" s="25" t="str">
        <f aca="false">IF(N258="","",U258+V258+X258+W258+Y258)</f>
        <v/>
      </c>
      <c r="AA258" s="7" t="str">
        <f aca="false">IF(COUNT(C258:H258)=0,"",TRIM(IF(UPPER(K258)="N","Not a PF member, skipped. ","")&amp;IF(AND(UPPER(K258)&lt;&gt;"N",N(M258)&lt;=0),"PF wage is zero, skipped. ","")&amp;IF(AND(UPPER(K258)&lt;&gt;"N",N(M258)&gt;0,UPPER(L258)="N"),"Pension not applicable, whole 12% goes to EPF. ","")&amp;IF(AND(ISNUMBER(H258),ABS(SUM(C258:G258)-N(H258))&gt;1),"Heads in the file add up to "&amp;SUM(C258:G258)&amp;", Gross is "&amp;H258&amp;" (a pay head may be missing). ","")&amp;IF(AND(Settings!$B$32,N(H258)&gt;0,ISNUMBER(M258),N(M258)&lt;H258*0.5-0.5),"50% check: PF wage is "&amp;TEXT(M258/H258,"0%")&amp;" of gross. ","")&amp;IF(AND(N(M258)&gt;0,UPPER(K258)&lt;&gt;"N",N(N258)+N(O258)=0),"No days to count. ","")))</f>
        <v/>
      </c>
    </row>
    <row r="259" customFormat="false" ht="15" hidden="false" customHeight="false" outlineLevel="0" collapsed="false">
      <c r="A259" s="14"/>
      <c r="B259" s="14"/>
      <c r="C259" s="17"/>
      <c r="D259" s="17"/>
      <c r="E259" s="17"/>
      <c r="F259" s="17"/>
      <c r="G259" s="17"/>
      <c r="H259" s="17"/>
      <c r="I259" s="14"/>
      <c r="J259" s="14"/>
      <c r="K259" s="14"/>
      <c r="L259" s="14"/>
      <c r="M259" s="34" t="str">
        <f aca="false">IF(COUNT(C259:H259)=0,"",IFERROR(MAX(0,ROUND(IF(Settings!$B$33,IF(H259="",SUM(C259:G259),H259)-SUMPRODUCT(($C$4:$G$4="Y")*C259:G259),SUMPRODUCT(($C$4:$G$4="Y")*C259:G259)),0)),"Check inputs"))</f>
        <v/>
      </c>
      <c r="N259" s="35" t="str">
        <f aca="false">IF(AND(N($M259)&gt;0,UPPER($K259)&lt;&gt;"N"),IF(Settings!$B$28,MAX(0,MIN(Settings!$B$16,IF(I259="",Settings!$B$16,I259)))/Settings!$B$15,1),"")</f>
        <v/>
      </c>
      <c r="O259" s="35" t="str">
        <f aca="false">IF(AND(N($M259)&gt;0,UPPER($K259)&lt;&gt;"N"),IF(Settings!$B$28,MAX(0,MIN(Settings!$B$17,IF(J259="",Settings!$B$17,J259)))/Settings!$B$15,0),"")</f>
        <v/>
      </c>
      <c r="P259" s="34" t="str">
        <f aca="false">IF(N259="","",ROUND(IF(Settings!$B$27,MIN($M259,Settings!$B$29),$M259)*N259,0))</f>
        <v/>
      </c>
      <c r="Q259" s="34" t="str">
        <f aca="false">IF(N259="","",ROUND(IF(Settings!$B$27,MIN($M259,Settings!$B$30),$M259)*O259,0))</f>
        <v/>
      </c>
      <c r="R259" s="34" t="str">
        <f aca="false">IF(N259="","",P259+Q259)</f>
        <v/>
      </c>
      <c r="S259" s="34" t="str">
        <f aca="false">IF(N259="","",ROUND(MIN($M259,Settings!$B$29)*N259,0)+ROUND(MIN($M259,Settings!$B$30)*O259,0))</f>
        <v/>
      </c>
      <c r="T259" s="34" t="str">
        <f aca="false">IF(N259="","",IF(UPPER(L259)="N",0,S259))</f>
        <v/>
      </c>
      <c r="U259" s="25" t="str">
        <f aca="false">IF(N259="","",ROUND(R259*Settings!$B$18,0))</f>
        <v/>
      </c>
      <c r="V259" s="25" t="str">
        <f aca="false">IF(N259="","",ROUND(R259*Settings!$B$19,0)-X259)</f>
        <v/>
      </c>
      <c r="W259" s="25" t="str">
        <f aca="false">IF(N259="","",IF(Settings!$B$31,ROUND(R259*Settings!$B$22,0),0))</f>
        <v/>
      </c>
      <c r="X259" s="25" t="str">
        <f aca="false">IF(N259="","",MIN(ROUND(T259*Settings!$B$20,0),ROUND(R259*Settings!$B$19,0)))</f>
        <v/>
      </c>
      <c r="Y259" s="25" t="str">
        <f aca="false">IF(N259="","",IF(Settings!$B$31,ROUND(S259*Settings!$B$21,0),0))</f>
        <v/>
      </c>
      <c r="Z259" s="25" t="str">
        <f aca="false">IF(N259="","",U259+V259+X259+W259+Y259)</f>
        <v/>
      </c>
      <c r="AA259" s="7" t="str">
        <f aca="false">IF(COUNT(C259:H259)=0,"",TRIM(IF(UPPER(K259)="N","Not a PF member, skipped. ","")&amp;IF(AND(UPPER(K259)&lt;&gt;"N",N(M259)&lt;=0),"PF wage is zero, skipped. ","")&amp;IF(AND(UPPER(K259)&lt;&gt;"N",N(M259)&gt;0,UPPER(L259)="N"),"Pension not applicable, whole 12% goes to EPF. ","")&amp;IF(AND(ISNUMBER(H259),ABS(SUM(C259:G259)-N(H259))&gt;1),"Heads in the file add up to "&amp;SUM(C259:G259)&amp;", Gross is "&amp;H259&amp;" (a pay head may be missing). ","")&amp;IF(AND(Settings!$B$32,N(H259)&gt;0,ISNUMBER(M259),N(M259)&lt;H259*0.5-0.5),"50% check: PF wage is "&amp;TEXT(M259/H259,"0%")&amp;" of gross. ","")&amp;IF(AND(N(M259)&gt;0,UPPER(K259)&lt;&gt;"N",N(N259)+N(O259)=0),"No days to count. ","")))</f>
        <v/>
      </c>
    </row>
    <row r="260" customFormat="false" ht="15" hidden="false" customHeight="false" outlineLevel="0" collapsed="false">
      <c r="A260" s="14"/>
      <c r="B260" s="14"/>
      <c r="C260" s="17"/>
      <c r="D260" s="17"/>
      <c r="E260" s="17"/>
      <c r="F260" s="17"/>
      <c r="G260" s="17"/>
      <c r="H260" s="17"/>
      <c r="I260" s="14"/>
      <c r="J260" s="14"/>
      <c r="K260" s="14"/>
      <c r="L260" s="14"/>
      <c r="M260" s="34" t="str">
        <f aca="false">IF(COUNT(C260:H260)=0,"",IFERROR(MAX(0,ROUND(IF(Settings!$B$33,IF(H260="",SUM(C260:G260),H260)-SUMPRODUCT(($C$4:$G$4="Y")*C260:G260),SUMPRODUCT(($C$4:$G$4="Y")*C260:G260)),0)),"Check inputs"))</f>
        <v/>
      </c>
      <c r="N260" s="35" t="str">
        <f aca="false">IF(AND(N($M260)&gt;0,UPPER($K260)&lt;&gt;"N"),IF(Settings!$B$28,MAX(0,MIN(Settings!$B$16,IF(I260="",Settings!$B$16,I260)))/Settings!$B$15,1),"")</f>
        <v/>
      </c>
      <c r="O260" s="35" t="str">
        <f aca="false">IF(AND(N($M260)&gt;0,UPPER($K260)&lt;&gt;"N"),IF(Settings!$B$28,MAX(0,MIN(Settings!$B$17,IF(J260="",Settings!$B$17,J260)))/Settings!$B$15,0),"")</f>
        <v/>
      </c>
      <c r="P260" s="34" t="str">
        <f aca="false">IF(N260="","",ROUND(IF(Settings!$B$27,MIN($M260,Settings!$B$29),$M260)*N260,0))</f>
        <v/>
      </c>
      <c r="Q260" s="34" t="str">
        <f aca="false">IF(N260="","",ROUND(IF(Settings!$B$27,MIN($M260,Settings!$B$30),$M260)*O260,0))</f>
        <v/>
      </c>
      <c r="R260" s="34" t="str">
        <f aca="false">IF(N260="","",P260+Q260)</f>
        <v/>
      </c>
      <c r="S260" s="34" t="str">
        <f aca="false">IF(N260="","",ROUND(MIN($M260,Settings!$B$29)*N260,0)+ROUND(MIN($M260,Settings!$B$30)*O260,0))</f>
        <v/>
      </c>
      <c r="T260" s="34" t="str">
        <f aca="false">IF(N260="","",IF(UPPER(L260)="N",0,S260))</f>
        <v/>
      </c>
      <c r="U260" s="25" t="str">
        <f aca="false">IF(N260="","",ROUND(R260*Settings!$B$18,0))</f>
        <v/>
      </c>
      <c r="V260" s="25" t="str">
        <f aca="false">IF(N260="","",ROUND(R260*Settings!$B$19,0)-X260)</f>
        <v/>
      </c>
      <c r="W260" s="25" t="str">
        <f aca="false">IF(N260="","",IF(Settings!$B$31,ROUND(R260*Settings!$B$22,0),0))</f>
        <v/>
      </c>
      <c r="X260" s="25" t="str">
        <f aca="false">IF(N260="","",MIN(ROUND(T260*Settings!$B$20,0),ROUND(R260*Settings!$B$19,0)))</f>
        <v/>
      </c>
      <c r="Y260" s="25" t="str">
        <f aca="false">IF(N260="","",IF(Settings!$B$31,ROUND(S260*Settings!$B$21,0),0))</f>
        <v/>
      </c>
      <c r="Z260" s="25" t="str">
        <f aca="false">IF(N260="","",U260+V260+X260+W260+Y260)</f>
        <v/>
      </c>
      <c r="AA260" s="7" t="str">
        <f aca="false">IF(COUNT(C260:H260)=0,"",TRIM(IF(UPPER(K260)="N","Not a PF member, skipped. ","")&amp;IF(AND(UPPER(K260)&lt;&gt;"N",N(M260)&lt;=0),"PF wage is zero, skipped. ","")&amp;IF(AND(UPPER(K260)&lt;&gt;"N",N(M260)&gt;0,UPPER(L260)="N"),"Pension not applicable, whole 12% goes to EPF. ","")&amp;IF(AND(ISNUMBER(H260),ABS(SUM(C260:G260)-N(H260))&gt;1),"Heads in the file add up to "&amp;SUM(C260:G260)&amp;", Gross is "&amp;H260&amp;" (a pay head may be missing). ","")&amp;IF(AND(Settings!$B$32,N(H260)&gt;0,ISNUMBER(M260),N(M260)&lt;H260*0.5-0.5),"50% check: PF wage is "&amp;TEXT(M260/H260,"0%")&amp;" of gross. ","")&amp;IF(AND(N(M260)&gt;0,UPPER(K260)&lt;&gt;"N",N(N260)+N(O260)=0),"No days to count. ","")))</f>
        <v/>
      </c>
    </row>
    <row r="261" customFormat="false" ht="15" hidden="false" customHeight="false" outlineLevel="0" collapsed="false">
      <c r="A261" s="14"/>
      <c r="B261" s="14"/>
      <c r="C261" s="17"/>
      <c r="D261" s="17"/>
      <c r="E261" s="17"/>
      <c r="F261" s="17"/>
      <c r="G261" s="17"/>
      <c r="H261" s="17"/>
      <c r="I261" s="14"/>
      <c r="J261" s="14"/>
      <c r="K261" s="14"/>
      <c r="L261" s="14"/>
      <c r="M261" s="34" t="str">
        <f aca="false">IF(COUNT(C261:H261)=0,"",IFERROR(MAX(0,ROUND(IF(Settings!$B$33,IF(H261="",SUM(C261:G261),H261)-SUMPRODUCT(($C$4:$G$4="Y")*C261:G261),SUMPRODUCT(($C$4:$G$4="Y")*C261:G261)),0)),"Check inputs"))</f>
        <v/>
      </c>
      <c r="N261" s="35" t="str">
        <f aca="false">IF(AND(N($M261)&gt;0,UPPER($K261)&lt;&gt;"N"),IF(Settings!$B$28,MAX(0,MIN(Settings!$B$16,IF(I261="",Settings!$B$16,I261)))/Settings!$B$15,1),"")</f>
        <v/>
      </c>
      <c r="O261" s="35" t="str">
        <f aca="false">IF(AND(N($M261)&gt;0,UPPER($K261)&lt;&gt;"N"),IF(Settings!$B$28,MAX(0,MIN(Settings!$B$17,IF(J261="",Settings!$B$17,J261)))/Settings!$B$15,0),"")</f>
        <v/>
      </c>
      <c r="P261" s="34" t="str">
        <f aca="false">IF(N261="","",ROUND(IF(Settings!$B$27,MIN($M261,Settings!$B$29),$M261)*N261,0))</f>
        <v/>
      </c>
      <c r="Q261" s="34" t="str">
        <f aca="false">IF(N261="","",ROUND(IF(Settings!$B$27,MIN($M261,Settings!$B$30),$M261)*O261,0))</f>
        <v/>
      </c>
      <c r="R261" s="34" t="str">
        <f aca="false">IF(N261="","",P261+Q261)</f>
        <v/>
      </c>
      <c r="S261" s="34" t="str">
        <f aca="false">IF(N261="","",ROUND(MIN($M261,Settings!$B$29)*N261,0)+ROUND(MIN($M261,Settings!$B$30)*O261,0))</f>
        <v/>
      </c>
      <c r="T261" s="34" t="str">
        <f aca="false">IF(N261="","",IF(UPPER(L261)="N",0,S261))</f>
        <v/>
      </c>
      <c r="U261" s="25" t="str">
        <f aca="false">IF(N261="","",ROUND(R261*Settings!$B$18,0))</f>
        <v/>
      </c>
      <c r="V261" s="25" t="str">
        <f aca="false">IF(N261="","",ROUND(R261*Settings!$B$19,0)-X261)</f>
        <v/>
      </c>
      <c r="W261" s="25" t="str">
        <f aca="false">IF(N261="","",IF(Settings!$B$31,ROUND(R261*Settings!$B$22,0),0))</f>
        <v/>
      </c>
      <c r="X261" s="25" t="str">
        <f aca="false">IF(N261="","",MIN(ROUND(T261*Settings!$B$20,0),ROUND(R261*Settings!$B$19,0)))</f>
        <v/>
      </c>
      <c r="Y261" s="25" t="str">
        <f aca="false">IF(N261="","",IF(Settings!$B$31,ROUND(S261*Settings!$B$21,0),0))</f>
        <v/>
      </c>
      <c r="Z261" s="25" t="str">
        <f aca="false">IF(N261="","",U261+V261+X261+W261+Y261)</f>
        <v/>
      </c>
      <c r="AA261" s="7" t="str">
        <f aca="false">IF(COUNT(C261:H261)=0,"",TRIM(IF(UPPER(K261)="N","Not a PF member, skipped. ","")&amp;IF(AND(UPPER(K261)&lt;&gt;"N",N(M261)&lt;=0),"PF wage is zero, skipped. ","")&amp;IF(AND(UPPER(K261)&lt;&gt;"N",N(M261)&gt;0,UPPER(L261)="N"),"Pension not applicable, whole 12% goes to EPF. ","")&amp;IF(AND(ISNUMBER(H261),ABS(SUM(C261:G261)-N(H261))&gt;1),"Heads in the file add up to "&amp;SUM(C261:G261)&amp;", Gross is "&amp;H261&amp;" (a pay head may be missing). ","")&amp;IF(AND(Settings!$B$32,N(H261)&gt;0,ISNUMBER(M261),N(M261)&lt;H261*0.5-0.5),"50% check: PF wage is "&amp;TEXT(M261/H261,"0%")&amp;" of gross. ","")&amp;IF(AND(N(M261)&gt;0,UPPER(K261)&lt;&gt;"N",N(N261)+N(O261)=0),"No days to count. ","")))</f>
        <v/>
      </c>
    </row>
    <row r="262" customFormat="false" ht="15" hidden="false" customHeight="false" outlineLevel="0" collapsed="false">
      <c r="A262" s="14"/>
      <c r="B262" s="14"/>
      <c r="C262" s="17"/>
      <c r="D262" s="17"/>
      <c r="E262" s="17"/>
      <c r="F262" s="17"/>
      <c r="G262" s="17"/>
      <c r="H262" s="17"/>
      <c r="I262" s="14"/>
      <c r="J262" s="14"/>
      <c r="K262" s="14"/>
      <c r="L262" s="14"/>
      <c r="M262" s="34" t="str">
        <f aca="false">IF(COUNT(C262:H262)=0,"",IFERROR(MAX(0,ROUND(IF(Settings!$B$33,IF(H262="",SUM(C262:G262),H262)-SUMPRODUCT(($C$4:$G$4="Y")*C262:G262),SUMPRODUCT(($C$4:$G$4="Y")*C262:G262)),0)),"Check inputs"))</f>
        <v/>
      </c>
      <c r="N262" s="35" t="str">
        <f aca="false">IF(AND(N($M262)&gt;0,UPPER($K262)&lt;&gt;"N"),IF(Settings!$B$28,MAX(0,MIN(Settings!$B$16,IF(I262="",Settings!$B$16,I262)))/Settings!$B$15,1),"")</f>
        <v/>
      </c>
      <c r="O262" s="35" t="str">
        <f aca="false">IF(AND(N($M262)&gt;0,UPPER($K262)&lt;&gt;"N"),IF(Settings!$B$28,MAX(0,MIN(Settings!$B$17,IF(J262="",Settings!$B$17,J262)))/Settings!$B$15,0),"")</f>
        <v/>
      </c>
      <c r="P262" s="34" t="str">
        <f aca="false">IF(N262="","",ROUND(IF(Settings!$B$27,MIN($M262,Settings!$B$29),$M262)*N262,0))</f>
        <v/>
      </c>
      <c r="Q262" s="34" t="str">
        <f aca="false">IF(N262="","",ROUND(IF(Settings!$B$27,MIN($M262,Settings!$B$30),$M262)*O262,0))</f>
        <v/>
      </c>
      <c r="R262" s="34" t="str">
        <f aca="false">IF(N262="","",P262+Q262)</f>
        <v/>
      </c>
      <c r="S262" s="34" t="str">
        <f aca="false">IF(N262="","",ROUND(MIN($M262,Settings!$B$29)*N262,0)+ROUND(MIN($M262,Settings!$B$30)*O262,0))</f>
        <v/>
      </c>
      <c r="T262" s="34" t="str">
        <f aca="false">IF(N262="","",IF(UPPER(L262)="N",0,S262))</f>
        <v/>
      </c>
      <c r="U262" s="25" t="str">
        <f aca="false">IF(N262="","",ROUND(R262*Settings!$B$18,0))</f>
        <v/>
      </c>
      <c r="V262" s="25" t="str">
        <f aca="false">IF(N262="","",ROUND(R262*Settings!$B$19,0)-X262)</f>
        <v/>
      </c>
      <c r="W262" s="25" t="str">
        <f aca="false">IF(N262="","",IF(Settings!$B$31,ROUND(R262*Settings!$B$22,0),0))</f>
        <v/>
      </c>
      <c r="X262" s="25" t="str">
        <f aca="false">IF(N262="","",MIN(ROUND(T262*Settings!$B$20,0),ROUND(R262*Settings!$B$19,0)))</f>
        <v/>
      </c>
      <c r="Y262" s="25" t="str">
        <f aca="false">IF(N262="","",IF(Settings!$B$31,ROUND(S262*Settings!$B$21,0),0))</f>
        <v/>
      </c>
      <c r="Z262" s="25" t="str">
        <f aca="false">IF(N262="","",U262+V262+X262+W262+Y262)</f>
        <v/>
      </c>
      <c r="AA262" s="7" t="str">
        <f aca="false">IF(COUNT(C262:H262)=0,"",TRIM(IF(UPPER(K262)="N","Not a PF member, skipped. ","")&amp;IF(AND(UPPER(K262)&lt;&gt;"N",N(M262)&lt;=0),"PF wage is zero, skipped. ","")&amp;IF(AND(UPPER(K262)&lt;&gt;"N",N(M262)&gt;0,UPPER(L262)="N"),"Pension not applicable, whole 12% goes to EPF. ","")&amp;IF(AND(ISNUMBER(H262),ABS(SUM(C262:G262)-N(H262))&gt;1),"Heads in the file add up to "&amp;SUM(C262:G262)&amp;", Gross is "&amp;H262&amp;" (a pay head may be missing). ","")&amp;IF(AND(Settings!$B$32,N(H262)&gt;0,ISNUMBER(M262),N(M262)&lt;H262*0.5-0.5),"50% check: PF wage is "&amp;TEXT(M262/H262,"0%")&amp;" of gross. ","")&amp;IF(AND(N(M262)&gt;0,UPPER(K262)&lt;&gt;"N",N(N262)+N(O262)=0),"No days to count. ","")))</f>
        <v/>
      </c>
    </row>
    <row r="263" customFormat="false" ht="15" hidden="false" customHeight="false" outlineLevel="0" collapsed="false">
      <c r="A263" s="14"/>
      <c r="B263" s="14"/>
      <c r="C263" s="17"/>
      <c r="D263" s="17"/>
      <c r="E263" s="17"/>
      <c r="F263" s="17"/>
      <c r="G263" s="17"/>
      <c r="H263" s="17"/>
      <c r="I263" s="14"/>
      <c r="J263" s="14"/>
      <c r="K263" s="14"/>
      <c r="L263" s="14"/>
      <c r="M263" s="34" t="str">
        <f aca="false">IF(COUNT(C263:H263)=0,"",IFERROR(MAX(0,ROUND(IF(Settings!$B$33,IF(H263="",SUM(C263:G263),H263)-SUMPRODUCT(($C$4:$G$4="Y")*C263:G263),SUMPRODUCT(($C$4:$G$4="Y")*C263:G263)),0)),"Check inputs"))</f>
        <v/>
      </c>
      <c r="N263" s="35" t="str">
        <f aca="false">IF(AND(N($M263)&gt;0,UPPER($K263)&lt;&gt;"N"),IF(Settings!$B$28,MAX(0,MIN(Settings!$B$16,IF(I263="",Settings!$B$16,I263)))/Settings!$B$15,1),"")</f>
        <v/>
      </c>
      <c r="O263" s="35" t="str">
        <f aca="false">IF(AND(N($M263)&gt;0,UPPER($K263)&lt;&gt;"N"),IF(Settings!$B$28,MAX(0,MIN(Settings!$B$17,IF(J263="",Settings!$B$17,J263)))/Settings!$B$15,0),"")</f>
        <v/>
      </c>
      <c r="P263" s="34" t="str">
        <f aca="false">IF(N263="","",ROUND(IF(Settings!$B$27,MIN($M263,Settings!$B$29),$M263)*N263,0))</f>
        <v/>
      </c>
      <c r="Q263" s="34" t="str">
        <f aca="false">IF(N263="","",ROUND(IF(Settings!$B$27,MIN($M263,Settings!$B$30),$M263)*O263,0))</f>
        <v/>
      </c>
      <c r="R263" s="34" t="str">
        <f aca="false">IF(N263="","",P263+Q263)</f>
        <v/>
      </c>
      <c r="S263" s="34" t="str">
        <f aca="false">IF(N263="","",ROUND(MIN($M263,Settings!$B$29)*N263,0)+ROUND(MIN($M263,Settings!$B$30)*O263,0))</f>
        <v/>
      </c>
      <c r="T263" s="34" t="str">
        <f aca="false">IF(N263="","",IF(UPPER(L263)="N",0,S263))</f>
        <v/>
      </c>
      <c r="U263" s="25" t="str">
        <f aca="false">IF(N263="","",ROUND(R263*Settings!$B$18,0))</f>
        <v/>
      </c>
      <c r="V263" s="25" t="str">
        <f aca="false">IF(N263="","",ROUND(R263*Settings!$B$19,0)-X263)</f>
        <v/>
      </c>
      <c r="W263" s="25" t="str">
        <f aca="false">IF(N263="","",IF(Settings!$B$31,ROUND(R263*Settings!$B$22,0),0))</f>
        <v/>
      </c>
      <c r="X263" s="25" t="str">
        <f aca="false">IF(N263="","",MIN(ROUND(T263*Settings!$B$20,0),ROUND(R263*Settings!$B$19,0)))</f>
        <v/>
      </c>
      <c r="Y263" s="25" t="str">
        <f aca="false">IF(N263="","",IF(Settings!$B$31,ROUND(S263*Settings!$B$21,0),0))</f>
        <v/>
      </c>
      <c r="Z263" s="25" t="str">
        <f aca="false">IF(N263="","",U263+V263+X263+W263+Y263)</f>
        <v/>
      </c>
      <c r="AA263" s="7" t="str">
        <f aca="false">IF(COUNT(C263:H263)=0,"",TRIM(IF(UPPER(K263)="N","Not a PF member, skipped. ","")&amp;IF(AND(UPPER(K263)&lt;&gt;"N",N(M263)&lt;=0),"PF wage is zero, skipped. ","")&amp;IF(AND(UPPER(K263)&lt;&gt;"N",N(M263)&gt;0,UPPER(L263)="N"),"Pension not applicable, whole 12% goes to EPF. ","")&amp;IF(AND(ISNUMBER(H263),ABS(SUM(C263:G263)-N(H263))&gt;1),"Heads in the file add up to "&amp;SUM(C263:G263)&amp;", Gross is "&amp;H263&amp;" (a pay head may be missing). ","")&amp;IF(AND(Settings!$B$32,N(H263)&gt;0,ISNUMBER(M263),N(M263)&lt;H263*0.5-0.5),"50% check: PF wage is "&amp;TEXT(M263/H263,"0%")&amp;" of gross. ","")&amp;IF(AND(N(M263)&gt;0,UPPER(K263)&lt;&gt;"N",N(N263)+N(O263)=0),"No days to count. ","")))</f>
        <v/>
      </c>
    </row>
    <row r="264" customFormat="false" ht="15" hidden="false" customHeight="false" outlineLevel="0" collapsed="false">
      <c r="A264" s="14"/>
      <c r="B264" s="14"/>
      <c r="C264" s="17"/>
      <c r="D264" s="17"/>
      <c r="E264" s="17"/>
      <c r="F264" s="17"/>
      <c r="G264" s="17"/>
      <c r="H264" s="17"/>
      <c r="I264" s="14"/>
      <c r="J264" s="14"/>
      <c r="K264" s="14"/>
      <c r="L264" s="14"/>
      <c r="M264" s="34" t="str">
        <f aca="false">IF(COUNT(C264:H264)=0,"",IFERROR(MAX(0,ROUND(IF(Settings!$B$33,IF(H264="",SUM(C264:G264),H264)-SUMPRODUCT(($C$4:$G$4="Y")*C264:G264),SUMPRODUCT(($C$4:$G$4="Y")*C264:G264)),0)),"Check inputs"))</f>
        <v/>
      </c>
      <c r="N264" s="35" t="str">
        <f aca="false">IF(AND(N($M264)&gt;0,UPPER($K264)&lt;&gt;"N"),IF(Settings!$B$28,MAX(0,MIN(Settings!$B$16,IF(I264="",Settings!$B$16,I264)))/Settings!$B$15,1),"")</f>
        <v/>
      </c>
      <c r="O264" s="35" t="str">
        <f aca="false">IF(AND(N($M264)&gt;0,UPPER($K264)&lt;&gt;"N"),IF(Settings!$B$28,MAX(0,MIN(Settings!$B$17,IF(J264="",Settings!$B$17,J264)))/Settings!$B$15,0),"")</f>
        <v/>
      </c>
      <c r="P264" s="34" t="str">
        <f aca="false">IF(N264="","",ROUND(IF(Settings!$B$27,MIN($M264,Settings!$B$29),$M264)*N264,0))</f>
        <v/>
      </c>
      <c r="Q264" s="34" t="str">
        <f aca="false">IF(N264="","",ROUND(IF(Settings!$B$27,MIN($M264,Settings!$B$30),$M264)*O264,0))</f>
        <v/>
      </c>
      <c r="R264" s="34" t="str">
        <f aca="false">IF(N264="","",P264+Q264)</f>
        <v/>
      </c>
      <c r="S264" s="34" t="str">
        <f aca="false">IF(N264="","",ROUND(MIN($M264,Settings!$B$29)*N264,0)+ROUND(MIN($M264,Settings!$B$30)*O264,0))</f>
        <v/>
      </c>
      <c r="T264" s="34" t="str">
        <f aca="false">IF(N264="","",IF(UPPER(L264)="N",0,S264))</f>
        <v/>
      </c>
      <c r="U264" s="25" t="str">
        <f aca="false">IF(N264="","",ROUND(R264*Settings!$B$18,0))</f>
        <v/>
      </c>
      <c r="V264" s="25" t="str">
        <f aca="false">IF(N264="","",ROUND(R264*Settings!$B$19,0)-X264)</f>
        <v/>
      </c>
      <c r="W264" s="25" t="str">
        <f aca="false">IF(N264="","",IF(Settings!$B$31,ROUND(R264*Settings!$B$22,0),0))</f>
        <v/>
      </c>
      <c r="X264" s="25" t="str">
        <f aca="false">IF(N264="","",MIN(ROUND(T264*Settings!$B$20,0),ROUND(R264*Settings!$B$19,0)))</f>
        <v/>
      </c>
      <c r="Y264" s="25" t="str">
        <f aca="false">IF(N264="","",IF(Settings!$B$31,ROUND(S264*Settings!$B$21,0),0))</f>
        <v/>
      </c>
      <c r="Z264" s="25" t="str">
        <f aca="false">IF(N264="","",U264+V264+X264+W264+Y264)</f>
        <v/>
      </c>
      <c r="AA264" s="7" t="str">
        <f aca="false">IF(COUNT(C264:H264)=0,"",TRIM(IF(UPPER(K264)="N","Not a PF member, skipped. ","")&amp;IF(AND(UPPER(K264)&lt;&gt;"N",N(M264)&lt;=0),"PF wage is zero, skipped. ","")&amp;IF(AND(UPPER(K264)&lt;&gt;"N",N(M264)&gt;0,UPPER(L264)="N"),"Pension not applicable, whole 12% goes to EPF. ","")&amp;IF(AND(ISNUMBER(H264),ABS(SUM(C264:G264)-N(H264))&gt;1),"Heads in the file add up to "&amp;SUM(C264:G264)&amp;", Gross is "&amp;H264&amp;" (a pay head may be missing). ","")&amp;IF(AND(Settings!$B$32,N(H264)&gt;0,ISNUMBER(M264),N(M264)&lt;H264*0.5-0.5),"50% check: PF wage is "&amp;TEXT(M264/H264,"0%")&amp;" of gross. ","")&amp;IF(AND(N(M264)&gt;0,UPPER(K264)&lt;&gt;"N",N(N264)+N(O264)=0),"No days to count. ","")))</f>
        <v/>
      </c>
    </row>
    <row r="265" customFormat="false" ht="15" hidden="false" customHeight="false" outlineLevel="0" collapsed="false">
      <c r="A265" s="14"/>
      <c r="B265" s="14"/>
      <c r="C265" s="17"/>
      <c r="D265" s="17"/>
      <c r="E265" s="17"/>
      <c r="F265" s="17"/>
      <c r="G265" s="17"/>
      <c r="H265" s="17"/>
      <c r="I265" s="14"/>
      <c r="J265" s="14"/>
      <c r="K265" s="14"/>
      <c r="L265" s="14"/>
      <c r="M265" s="34" t="str">
        <f aca="false">IF(COUNT(C265:H265)=0,"",IFERROR(MAX(0,ROUND(IF(Settings!$B$33,IF(H265="",SUM(C265:G265),H265)-SUMPRODUCT(($C$4:$G$4="Y")*C265:G265),SUMPRODUCT(($C$4:$G$4="Y")*C265:G265)),0)),"Check inputs"))</f>
        <v/>
      </c>
      <c r="N265" s="35" t="str">
        <f aca="false">IF(AND(N($M265)&gt;0,UPPER($K265)&lt;&gt;"N"),IF(Settings!$B$28,MAX(0,MIN(Settings!$B$16,IF(I265="",Settings!$B$16,I265)))/Settings!$B$15,1),"")</f>
        <v/>
      </c>
      <c r="O265" s="35" t="str">
        <f aca="false">IF(AND(N($M265)&gt;0,UPPER($K265)&lt;&gt;"N"),IF(Settings!$B$28,MAX(0,MIN(Settings!$B$17,IF(J265="",Settings!$B$17,J265)))/Settings!$B$15,0),"")</f>
        <v/>
      </c>
      <c r="P265" s="34" t="str">
        <f aca="false">IF(N265="","",ROUND(IF(Settings!$B$27,MIN($M265,Settings!$B$29),$M265)*N265,0))</f>
        <v/>
      </c>
      <c r="Q265" s="34" t="str">
        <f aca="false">IF(N265="","",ROUND(IF(Settings!$B$27,MIN($M265,Settings!$B$30),$M265)*O265,0))</f>
        <v/>
      </c>
      <c r="R265" s="34" t="str">
        <f aca="false">IF(N265="","",P265+Q265)</f>
        <v/>
      </c>
      <c r="S265" s="34" t="str">
        <f aca="false">IF(N265="","",ROUND(MIN($M265,Settings!$B$29)*N265,0)+ROUND(MIN($M265,Settings!$B$30)*O265,0))</f>
        <v/>
      </c>
      <c r="T265" s="34" t="str">
        <f aca="false">IF(N265="","",IF(UPPER(L265)="N",0,S265))</f>
        <v/>
      </c>
      <c r="U265" s="25" t="str">
        <f aca="false">IF(N265="","",ROUND(R265*Settings!$B$18,0))</f>
        <v/>
      </c>
      <c r="V265" s="25" t="str">
        <f aca="false">IF(N265="","",ROUND(R265*Settings!$B$19,0)-X265)</f>
        <v/>
      </c>
      <c r="W265" s="25" t="str">
        <f aca="false">IF(N265="","",IF(Settings!$B$31,ROUND(R265*Settings!$B$22,0),0))</f>
        <v/>
      </c>
      <c r="X265" s="25" t="str">
        <f aca="false">IF(N265="","",MIN(ROUND(T265*Settings!$B$20,0),ROUND(R265*Settings!$B$19,0)))</f>
        <v/>
      </c>
      <c r="Y265" s="25" t="str">
        <f aca="false">IF(N265="","",IF(Settings!$B$31,ROUND(S265*Settings!$B$21,0),0))</f>
        <v/>
      </c>
      <c r="Z265" s="25" t="str">
        <f aca="false">IF(N265="","",U265+V265+X265+W265+Y265)</f>
        <v/>
      </c>
      <c r="AA265" s="7" t="str">
        <f aca="false">IF(COUNT(C265:H265)=0,"",TRIM(IF(UPPER(K265)="N","Not a PF member, skipped. ","")&amp;IF(AND(UPPER(K265)&lt;&gt;"N",N(M265)&lt;=0),"PF wage is zero, skipped. ","")&amp;IF(AND(UPPER(K265)&lt;&gt;"N",N(M265)&gt;0,UPPER(L265)="N"),"Pension not applicable, whole 12% goes to EPF. ","")&amp;IF(AND(ISNUMBER(H265),ABS(SUM(C265:G265)-N(H265))&gt;1),"Heads in the file add up to "&amp;SUM(C265:G265)&amp;", Gross is "&amp;H265&amp;" (a pay head may be missing). ","")&amp;IF(AND(Settings!$B$32,N(H265)&gt;0,ISNUMBER(M265),N(M265)&lt;H265*0.5-0.5),"50% check: PF wage is "&amp;TEXT(M265/H265,"0%")&amp;" of gross. ","")&amp;IF(AND(N(M265)&gt;0,UPPER(K265)&lt;&gt;"N",N(N265)+N(O265)=0),"No days to count. ","")))</f>
        <v/>
      </c>
    </row>
    <row r="266" customFormat="false" ht="15" hidden="false" customHeight="false" outlineLevel="0" collapsed="false">
      <c r="A266" s="14"/>
      <c r="B266" s="14"/>
      <c r="C266" s="17"/>
      <c r="D266" s="17"/>
      <c r="E266" s="17"/>
      <c r="F266" s="17"/>
      <c r="G266" s="17"/>
      <c r="H266" s="17"/>
      <c r="I266" s="14"/>
      <c r="J266" s="14"/>
      <c r="K266" s="14"/>
      <c r="L266" s="14"/>
      <c r="M266" s="34" t="str">
        <f aca="false">IF(COUNT(C266:H266)=0,"",IFERROR(MAX(0,ROUND(IF(Settings!$B$33,IF(H266="",SUM(C266:G266),H266)-SUMPRODUCT(($C$4:$G$4="Y")*C266:G266),SUMPRODUCT(($C$4:$G$4="Y")*C266:G266)),0)),"Check inputs"))</f>
        <v/>
      </c>
      <c r="N266" s="35" t="str">
        <f aca="false">IF(AND(N($M266)&gt;0,UPPER($K266)&lt;&gt;"N"),IF(Settings!$B$28,MAX(0,MIN(Settings!$B$16,IF(I266="",Settings!$B$16,I266)))/Settings!$B$15,1),"")</f>
        <v/>
      </c>
      <c r="O266" s="35" t="str">
        <f aca="false">IF(AND(N($M266)&gt;0,UPPER($K266)&lt;&gt;"N"),IF(Settings!$B$28,MAX(0,MIN(Settings!$B$17,IF(J266="",Settings!$B$17,J266)))/Settings!$B$15,0),"")</f>
        <v/>
      </c>
      <c r="P266" s="34" t="str">
        <f aca="false">IF(N266="","",ROUND(IF(Settings!$B$27,MIN($M266,Settings!$B$29),$M266)*N266,0))</f>
        <v/>
      </c>
      <c r="Q266" s="34" t="str">
        <f aca="false">IF(N266="","",ROUND(IF(Settings!$B$27,MIN($M266,Settings!$B$30),$M266)*O266,0))</f>
        <v/>
      </c>
      <c r="R266" s="34" t="str">
        <f aca="false">IF(N266="","",P266+Q266)</f>
        <v/>
      </c>
      <c r="S266" s="34" t="str">
        <f aca="false">IF(N266="","",ROUND(MIN($M266,Settings!$B$29)*N266,0)+ROUND(MIN($M266,Settings!$B$30)*O266,0))</f>
        <v/>
      </c>
      <c r="T266" s="34" t="str">
        <f aca="false">IF(N266="","",IF(UPPER(L266)="N",0,S266))</f>
        <v/>
      </c>
      <c r="U266" s="25" t="str">
        <f aca="false">IF(N266="","",ROUND(R266*Settings!$B$18,0))</f>
        <v/>
      </c>
      <c r="V266" s="25" t="str">
        <f aca="false">IF(N266="","",ROUND(R266*Settings!$B$19,0)-X266)</f>
        <v/>
      </c>
      <c r="W266" s="25" t="str">
        <f aca="false">IF(N266="","",IF(Settings!$B$31,ROUND(R266*Settings!$B$22,0),0))</f>
        <v/>
      </c>
      <c r="X266" s="25" t="str">
        <f aca="false">IF(N266="","",MIN(ROUND(T266*Settings!$B$20,0),ROUND(R266*Settings!$B$19,0)))</f>
        <v/>
      </c>
      <c r="Y266" s="25" t="str">
        <f aca="false">IF(N266="","",IF(Settings!$B$31,ROUND(S266*Settings!$B$21,0),0))</f>
        <v/>
      </c>
      <c r="Z266" s="25" t="str">
        <f aca="false">IF(N266="","",U266+V266+X266+W266+Y266)</f>
        <v/>
      </c>
      <c r="AA266" s="7" t="str">
        <f aca="false">IF(COUNT(C266:H266)=0,"",TRIM(IF(UPPER(K266)="N","Not a PF member, skipped. ","")&amp;IF(AND(UPPER(K266)&lt;&gt;"N",N(M266)&lt;=0),"PF wage is zero, skipped. ","")&amp;IF(AND(UPPER(K266)&lt;&gt;"N",N(M266)&gt;0,UPPER(L266)="N"),"Pension not applicable, whole 12% goes to EPF. ","")&amp;IF(AND(ISNUMBER(H266),ABS(SUM(C266:G266)-N(H266))&gt;1),"Heads in the file add up to "&amp;SUM(C266:G266)&amp;", Gross is "&amp;H266&amp;" (a pay head may be missing). ","")&amp;IF(AND(Settings!$B$32,N(H266)&gt;0,ISNUMBER(M266),N(M266)&lt;H266*0.5-0.5),"50% check: PF wage is "&amp;TEXT(M266/H266,"0%")&amp;" of gross. ","")&amp;IF(AND(N(M266)&gt;0,UPPER(K266)&lt;&gt;"N",N(N266)+N(O266)=0),"No days to count. ","")))</f>
        <v/>
      </c>
    </row>
    <row r="267" customFormat="false" ht="15" hidden="false" customHeight="false" outlineLevel="0" collapsed="false">
      <c r="A267" s="14"/>
      <c r="B267" s="14"/>
      <c r="C267" s="17"/>
      <c r="D267" s="17"/>
      <c r="E267" s="17"/>
      <c r="F267" s="17"/>
      <c r="G267" s="17"/>
      <c r="H267" s="17"/>
      <c r="I267" s="14"/>
      <c r="J267" s="14"/>
      <c r="K267" s="14"/>
      <c r="L267" s="14"/>
      <c r="M267" s="34" t="str">
        <f aca="false">IF(COUNT(C267:H267)=0,"",IFERROR(MAX(0,ROUND(IF(Settings!$B$33,IF(H267="",SUM(C267:G267),H267)-SUMPRODUCT(($C$4:$G$4="Y")*C267:G267),SUMPRODUCT(($C$4:$G$4="Y")*C267:G267)),0)),"Check inputs"))</f>
        <v/>
      </c>
      <c r="N267" s="35" t="str">
        <f aca="false">IF(AND(N($M267)&gt;0,UPPER($K267)&lt;&gt;"N"),IF(Settings!$B$28,MAX(0,MIN(Settings!$B$16,IF(I267="",Settings!$B$16,I267)))/Settings!$B$15,1),"")</f>
        <v/>
      </c>
      <c r="O267" s="35" t="str">
        <f aca="false">IF(AND(N($M267)&gt;0,UPPER($K267)&lt;&gt;"N"),IF(Settings!$B$28,MAX(0,MIN(Settings!$B$17,IF(J267="",Settings!$B$17,J267)))/Settings!$B$15,0),"")</f>
        <v/>
      </c>
      <c r="P267" s="34" t="str">
        <f aca="false">IF(N267="","",ROUND(IF(Settings!$B$27,MIN($M267,Settings!$B$29),$M267)*N267,0))</f>
        <v/>
      </c>
      <c r="Q267" s="34" t="str">
        <f aca="false">IF(N267="","",ROUND(IF(Settings!$B$27,MIN($M267,Settings!$B$30),$M267)*O267,0))</f>
        <v/>
      </c>
      <c r="R267" s="34" t="str">
        <f aca="false">IF(N267="","",P267+Q267)</f>
        <v/>
      </c>
      <c r="S267" s="34" t="str">
        <f aca="false">IF(N267="","",ROUND(MIN($M267,Settings!$B$29)*N267,0)+ROUND(MIN($M267,Settings!$B$30)*O267,0))</f>
        <v/>
      </c>
      <c r="T267" s="34" t="str">
        <f aca="false">IF(N267="","",IF(UPPER(L267)="N",0,S267))</f>
        <v/>
      </c>
      <c r="U267" s="25" t="str">
        <f aca="false">IF(N267="","",ROUND(R267*Settings!$B$18,0))</f>
        <v/>
      </c>
      <c r="V267" s="25" t="str">
        <f aca="false">IF(N267="","",ROUND(R267*Settings!$B$19,0)-X267)</f>
        <v/>
      </c>
      <c r="W267" s="25" t="str">
        <f aca="false">IF(N267="","",IF(Settings!$B$31,ROUND(R267*Settings!$B$22,0),0))</f>
        <v/>
      </c>
      <c r="X267" s="25" t="str">
        <f aca="false">IF(N267="","",MIN(ROUND(T267*Settings!$B$20,0),ROUND(R267*Settings!$B$19,0)))</f>
        <v/>
      </c>
      <c r="Y267" s="25" t="str">
        <f aca="false">IF(N267="","",IF(Settings!$B$31,ROUND(S267*Settings!$B$21,0),0))</f>
        <v/>
      </c>
      <c r="Z267" s="25" t="str">
        <f aca="false">IF(N267="","",U267+V267+X267+W267+Y267)</f>
        <v/>
      </c>
      <c r="AA267" s="7" t="str">
        <f aca="false">IF(COUNT(C267:H267)=0,"",TRIM(IF(UPPER(K267)="N","Not a PF member, skipped. ","")&amp;IF(AND(UPPER(K267)&lt;&gt;"N",N(M267)&lt;=0),"PF wage is zero, skipped. ","")&amp;IF(AND(UPPER(K267)&lt;&gt;"N",N(M267)&gt;0,UPPER(L267)="N"),"Pension not applicable, whole 12% goes to EPF. ","")&amp;IF(AND(ISNUMBER(H267),ABS(SUM(C267:G267)-N(H267))&gt;1),"Heads in the file add up to "&amp;SUM(C267:G267)&amp;", Gross is "&amp;H267&amp;" (a pay head may be missing). ","")&amp;IF(AND(Settings!$B$32,N(H267)&gt;0,ISNUMBER(M267),N(M267)&lt;H267*0.5-0.5),"50% check: PF wage is "&amp;TEXT(M267/H267,"0%")&amp;" of gross. ","")&amp;IF(AND(N(M267)&gt;0,UPPER(K267)&lt;&gt;"N",N(N267)+N(O267)=0),"No days to count. ","")))</f>
        <v/>
      </c>
    </row>
    <row r="268" customFormat="false" ht="15" hidden="false" customHeight="false" outlineLevel="0" collapsed="false">
      <c r="A268" s="14"/>
      <c r="B268" s="14"/>
      <c r="C268" s="17"/>
      <c r="D268" s="17"/>
      <c r="E268" s="17"/>
      <c r="F268" s="17"/>
      <c r="G268" s="17"/>
      <c r="H268" s="17"/>
      <c r="I268" s="14"/>
      <c r="J268" s="14"/>
      <c r="K268" s="14"/>
      <c r="L268" s="14"/>
      <c r="M268" s="34" t="str">
        <f aca="false">IF(COUNT(C268:H268)=0,"",IFERROR(MAX(0,ROUND(IF(Settings!$B$33,IF(H268="",SUM(C268:G268),H268)-SUMPRODUCT(($C$4:$G$4="Y")*C268:G268),SUMPRODUCT(($C$4:$G$4="Y")*C268:G268)),0)),"Check inputs"))</f>
        <v/>
      </c>
      <c r="N268" s="35" t="str">
        <f aca="false">IF(AND(N($M268)&gt;0,UPPER($K268)&lt;&gt;"N"),IF(Settings!$B$28,MAX(0,MIN(Settings!$B$16,IF(I268="",Settings!$B$16,I268)))/Settings!$B$15,1),"")</f>
        <v/>
      </c>
      <c r="O268" s="35" t="str">
        <f aca="false">IF(AND(N($M268)&gt;0,UPPER($K268)&lt;&gt;"N"),IF(Settings!$B$28,MAX(0,MIN(Settings!$B$17,IF(J268="",Settings!$B$17,J268)))/Settings!$B$15,0),"")</f>
        <v/>
      </c>
      <c r="P268" s="34" t="str">
        <f aca="false">IF(N268="","",ROUND(IF(Settings!$B$27,MIN($M268,Settings!$B$29),$M268)*N268,0))</f>
        <v/>
      </c>
      <c r="Q268" s="34" t="str">
        <f aca="false">IF(N268="","",ROUND(IF(Settings!$B$27,MIN($M268,Settings!$B$30),$M268)*O268,0))</f>
        <v/>
      </c>
      <c r="R268" s="34" t="str">
        <f aca="false">IF(N268="","",P268+Q268)</f>
        <v/>
      </c>
      <c r="S268" s="34" t="str">
        <f aca="false">IF(N268="","",ROUND(MIN($M268,Settings!$B$29)*N268,0)+ROUND(MIN($M268,Settings!$B$30)*O268,0))</f>
        <v/>
      </c>
      <c r="T268" s="34" t="str">
        <f aca="false">IF(N268="","",IF(UPPER(L268)="N",0,S268))</f>
        <v/>
      </c>
      <c r="U268" s="25" t="str">
        <f aca="false">IF(N268="","",ROUND(R268*Settings!$B$18,0))</f>
        <v/>
      </c>
      <c r="V268" s="25" t="str">
        <f aca="false">IF(N268="","",ROUND(R268*Settings!$B$19,0)-X268)</f>
        <v/>
      </c>
      <c r="W268" s="25" t="str">
        <f aca="false">IF(N268="","",IF(Settings!$B$31,ROUND(R268*Settings!$B$22,0),0))</f>
        <v/>
      </c>
      <c r="X268" s="25" t="str">
        <f aca="false">IF(N268="","",MIN(ROUND(T268*Settings!$B$20,0),ROUND(R268*Settings!$B$19,0)))</f>
        <v/>
      </c>
      <c r="Y268" s="25" t="str">
        <f aca="false">IF(N268="","",IF(Settings!$B$31,ROUND(S268*Settings!$B$21,0),0))</f>
        <v/>
      </c>
      <c r="Z268" s="25" t="str">
        <f aca="false">IF(N268="","",U268+V268+X268+W268+Y268)</f>
        <v/>
      </c>
      <c r="AA268" s="7" t="str">
        <f aca="false">IF(COUNT(C268:H268)=0,"",TRIM(IF(UPPER(K268)="N","Not a PF member, skipped. ","")&amp;IF(AND(UPPER(K268)&lt;&gt;"N",N(M268)&lt;=0),"PF wage is zero, skipped. ","")&amp;IF(AND(UPPER(K268)&lt;&gt;"N",N(M268)&gt;0,UPPER(L268)="N"),"Pension not applicable, whole 12% goes to EPF. ","")&amp;IF(AND(ISNUMBER(H268),ABS(SUM(C268:G268)-N(H268))&gt;1),"Heads in the file add up to "&amp;SUM(C268:G268)&amp;", Gross is "&amp;H268&amp;" (a pay head may be missing). ","")&amp;IF(AND(Settings!$B$32,N(H268)&gt;0,ISNUMBER(M268),N(M268)&lt;H268*0.5-0.5),"50% check: PF wage is "&amp;TEXT(M268/H268,"0%")&amp;" of gross. ","")&amp;IF(AND(N(M268)&gt;0,UPPER(K268)&lt;&gt;"N",N(N268)+N(O268)=0),"No days to count. ","")))</f>
        <v/>
      </c>
    </row>
    <row r="269" customFormat="false" ht="15" hidden="false" customHeight="false" outlineLevel="0" collapsed="false">
      <c r="A269" s="14"/>
      <c r="B269" s="14"/>
      <c r="C269" s="17"/>
      <c r="D269" s="17"/>
      <c r="E269" s="17"/>
      <c r="F269" s="17"/>
      <c r="G269" s="17"/>
      <c r="H269" s="17"/>
      <c r="I269" s="14"/>
      <c r="J269" s="14"/>
      <c r="K269" s="14"/>
      <c r="L269" s="14"/>
      <c r="M269" s="34" t="str">
        <f aca="false">IF(COUNT(C269:H269)=0,"",IFERROR(MAX(0,ROUND(IF(Settings!$B$33,IF(H269="",SUM(C269:G269),H269)-SUMPRODUCT(($C$4:$G$4="Y")*C269:G269),SUMPRODUCT(($C$4:$G$4="Y")*C269:G269)),0)),"Check inputs"))</f>
        <v/>
      </c>
      <c r="N269" s="35" t="str">
        <f aca="false">IF(AND(N($M269)&gt;0,UPPER($K269)&lt;&gt;"N"),IF(Settings!$B$28,MAX(0,MIN(Settings!$B$16,IF(I269="",Settings!$B$16,I269)))/Settings!$B$15,1),"")</f>
        <v/>
      </c>
      <c r="O269" s="35" t="str">
        <f aca="false">IF(AND(N($M269)&gt;0,UPPER($K269)&lt;&gt;"N"),IF(Settings!$B$28,MAX(0,MIN(Settings!$B$17,IF(J269="",Settings!$B$17,J269)))/Settings!$B$15,0),"")</f>
        <v/>
      </c>
      <c r="P269" s="34" t="str">
        <f aca="false">IF(N269="","",ROUND(IF(Settings!$B$27,MIN($M269,Settings!$B$29),$M269)*N269,0))</f>
        <v/>
      </c>
      <c r="Q269" s="34" t="str">
        <f aca="false">IF(N269="","",ROUND(IF(Settings!$B$27,MIN($M269,Settings!$B$30),$M269)*O269,0))</f>
        <v/>
      </c>
      <c r="R269" s="34" t="str">
        <f aca="false">IF(N269="","",P269+Q269)</f>
        <v/>
      </c>
      <c r="S269" s="34" t="str">
        <f aca="false">IF(N269="","",ROUND(MIN($M269,Settings!$B$29)*N269,0)+ROUND(MIN($M269,Settings!$B$30)*O269,0))</f>
        <v/>
      </c>
      <c r="T269" s="34" t="str">
        <f aca="false">IF(N269="","",IF(UPPER(L269)="N",0,S269))</f>
        <v/>
      </c>
      <c r="U269" s="25" t="str">
        <f aca="false">IF(N269="","",ROUND(R269*Settings!$B$18,0))</f>
        <v/>
      </c>
      <c r="V269" s="25" t="str">
        <f aca="false">IF(N269="","",ROUND(R269*Settings!$B$19,0)-X269)</f>
        <v/>
      </c>
      <c r="W269" s="25" t="str">
        <f aca="false">IF(N269="","",IF(Settings!$B$31,ROUND(R269*Settings!$B$22,0),0))</f>
        <v/>
      </c>
      <c r="X269" s="25" t="str">
        <f aca="false">IF(N269="","",MIN(ROUND(T269*Settings!$B$20,0),ROUND(R269*Settings!$B$19,0)))</f>
        <v/>
      </c>
      <c r="Y269" s="25" t="str">
        <f aca="false">IF(N269="","",IF(Settings!$B$31,ROUND(S269*Settings!$B$21,0),0))</f>
        <v/>
      </c>
      <c r="Z269" s="25" t="str">
        <f aca="false">IF(N269="","",U269+V269+X269+W269+Y269)</f>
        <v/>
      </c>
      <c r="AA269" s="7" t="str">
        <f aca="false">IF(COUNT(C269:H269)=0,"",TRIM(IF(UPPER(K269)="N","Not a PF member, skipped. ","")&amp;IF(AND(UPPER(K269)&lt;&gt;"N",N(M269)&lt;=0),"PF wage is zero, skipped. ","")&amp;IF(AND(UPPER(K269)&lt;&gt;"N",N(M269)&gt;0,UPPER(L269)="N"),"Pension not applicable, whole 12% goes to EPF. ","")&amp;IF(AND(ISNUMBER(H269),ABS(SUM(C269:G269)-N(H269))&gt;1),"Heads in the file add up to "&amp;SUM(C269:G269)&amp;", Gross is "&amp;H269&amp;" (a pay head may be missing). ","")&amp;IF(AND(Settings!$B$32,N(H269)&gt;0,ISNUMBER(M269),N(M269)&lt;H269*0.5-0.5),"50% check: PF wage is "&amp;TEXT(M269/H269,"0%")&amp;" of gross. ","")&amp;IF(AND(N(M269)&gt;0,UPPER(K269)&lt;&gt;"N",N(N269)+N(O269)=0),"No days to count. ","")))</f>
        <v/>
      </c>
    </row>
    <row r="270" customFormat="false" ht="15" hidden="false" customHeight="false" outlineLevel="0" collapsed="false">
      <c r="A270" s="14"/>
      <c r="B270" s="14"/>
      <c r="C270" s="17"/>
      <c r="D270" s="17"/>
      <c r="E270" s="17"/>
      <c r="F270" s="17"/>
      <c r="G270" s="17"/>
      <c r="H270" s="17"/>
      <c r="I270" s="14"/>
      <c r="J270" s="14"/>
      <c r="K270" s="14"/>
      <c r="L270" s="14"/>
      <c r="M270" s="34" t="str">
        <f aca="false">IF(COUNT(C270:H270)=0,"",IFERROR(MAX(0,ROUND(IF(Settings!$B$33,IF(H270="",SUM(C270:G270),H270)-SUMPRODUCT(($C$4:$G$4="Y")*C270:G270),SUMPRODUCT(($C$4:$G$4="Y")*C270:G270)),0)),"Check inputs"))</f>
        <v/>
      </c>
      <c r="N270" s="35" t="str">
        <f aca="false">IF(AND(N($M270)&gt;0,UPPER($K270)&lt;&gt;"N"),IF(Settings!$B$28,MAX(0,MIN(Settings!$B$16,IF(I270="",Settings!$B$16,I270)))/Settings!$B$15,1),"")</f>
        <v/>
      </c>
      <c r="O270" s="35" t="str">
        <f aca="false">IF(AND(N($M270)&gt;0,UPPER($K270)&lt;&gt;"N"),IF(Settings!$B$28,MAX(0,MIN(Settings!$B$17,IF(J270="",Settings!$B$17,J270)))/Settings!$B$15,0),"")</f>
        <v/>
      </c>
      <c r="P270" s="34" t="str">
        <f aca="false">IF(N270="","",ROUND(IF(Settings!$B$27,MIN($M270,Settings!$B$29),$M270)*N270,0))</f>
        <v/>
      </c>
      <c r="Q270" s="34" t="str">
        <f aca="false">IF(N270="","",ROUND(IF(Settings!$B$27,MIN($M270,Settings!$B$30),$M270)*O270,0))</f>
        <v/>
      </c>
      <c r="R270" s="34" t="str">
        <f aca="false">IF(N270="","",P270+Q270)</f>
        <v/>
      </c>
      <c r="S270" s="34" t="str">
        <f aca="false">IF(N270="","",ROUND(MIN($M270,Settings!$B$29)*N270,0)+ROUND(MIN($M270,Settings!$B$30)*O270,0))</f>
        <v/>
      </c>
      <c r="T270" s="34" t="str">
        <f aca="false">IF(N270="","",IF(UPPER(L270)="N",0,S270))</f>
        <v/>
      </c>
      <c r="U270" s="25" t="str">
        <f aca="false">IF(N270="","",ROUND(R270*Settings!$B$18,0))</f>
        <v/>
      </c>
      <c r="V270" s="25" t="str">
        <f aca="false">IF(N270="","",ROUND(R270*Settings!$B$19,0)-X270)</f>
        <v/>
      </c>
      <c r="W270" s="25" t="str">
        <f aca="false">IF(N270="","",IF(Settings!$B$31,ROUND(R270*Settings!$B$22,0),0))</f>
        <v/>
      </c>
      <c r="X270" s="25" t="str">
        <f aca="false">IF(N270="","",MIN(ROUND(T270*Settings!$B$20,0),ROUND(R270*Settings!$B$19,0)))</f>
        <v/>
      </c>
      <c r="Y270" s="25" t="str">
        <f aca="false">IF(N270="","",IF(Settings!$B$31,ROUND(S270*Settings!$B$21,0),0))</f>
        <v/>
      </c>
      <c r="Z270" s="25" t="str">
        <f aca="false">IF(N270="","",U270+V270+X270+W270+Y270)</f>
        <v/>
      </c>
      <c r="AA270" s="7" t="str">
        <f aca="false">IF(COUNT(C270:H270)=0,"",TRIM(IF(UPPER(K270)="N","Not a PF member, skipped. ","")&amp;IF(AND(UPPER(K270)&lt;&gt;"N",N(M270)&lt;=0),"PF wage is zero, skipped. ","")&amp;IF(AND(UPPER(K270)&lt;&gt;"N",N(M270)&gt;0,UPPER(L270)="N"),"Pension not applicable, whole 12% goes to EPF. ","")&amp;IF(AND(ISNUMBER(H270),ABS(SUM(C270:G270)-N(H270))&gt;1),"Heads in the file add up to "&amp;SUM(C270:G270)&amp;", Gross is "&amp;H270&amp;" (a pay head may be missing). ","")&amp;IF(AND(Settings!$B$32,N(H270)&gt;0,ISNUMBER(M270),N(M270)&lt;H270*0.5-0.5),"50% check: PF wage is "&amp;TEXT(M270/H270,"0%")&amp;" of gross. ","")&amp;IF(AND(N(M270)&gt;0,UPPER(K270)&lt;&gt;"N",N(N270)+N(O270)=0),"No days to count. ","")))</f>
        <v/>
      </c>
    </row>
    <row r="271" customFormat="false" ht="15" hidden="false" customHeight="false" outlineLevel="0" collapsed="false">
      <c r="A271" s="14"/>
      <c r="B271" s="14"/>
      <c r="C271" s="17"/>
      <c r="D271" s="17"/>
      <c r="E271" s="17"/>
      <c r="F271" s="17"/>
      <c r="G271" s="17"/>
      <c r="H271" s="17"/>
      <c r="I271" s="14"/>
      <c r="J271" s="14"/>
      <c r="K271" s="14"/>
      <c r="L271" s="14"/>
      <c r="M271" s="34" t="str">
        <f aca="false">IF(COUNT(C271:H271)=0,"",IFERROR(MAX(0,ROUND(IF(Settings!$B$33,IF(H271="",SUM(C271:G271),H271)-SUMPRODUCT(($C$4:$G$4="Y")*C271:G271),SUMPRODUCT(($C$4:$G$4="Y")*C271:G271)),0)),"Check inputs"))</f>
        <v/>
      </c>
      <c r="N271" s="35" t="str">
        <f aca="false">IF(AND(N($M271)&gt;0,UPPER($K271)&lt;&gt;"N"),IF(Settings!$B$28,MAX(0,MIN(Settings!$B$16,IF(I271="",Settings!$B$16,I271)))/Settings!$B$15,1),"")</f>
        <v/>
      </c>
      <c r="O271" s="35" t="str">
        <f aca="false">IF(AND(N($M271)&gt;0,UPPER($K271)&lt;&gt;"N"),IF(Settings!$B$28,MAX(0,MIN(Settings!$B$17,IF(J271="",Settings!$B$17,J271)))/Settings!$B$15,0),"")</f>
        <v/>
      </c>
      <c r="P271" s="34" t="str">
        <f aca="false">IF(N271="","",ROUND(IF(Settings!$B$27,MIN($M271,Settings!$B$29),$M271)*N271,0))</f>
        <v/>
      </c>
      <c r="Q271" s="34" t="str">
        <f aca="false">IF(N271="","",ROUND(IF(Settings!$B$27,MIN($M271,Settings!$B$30),$M271)*O271,0))</f>
        <v/>
      </c>
      <c r="R271" s="34" t="str">
        <f aca="false">IF(N271="","",P271+Q271)</f>
        <v/>
      </c>
      <c r="S271" s="34" t="str">
        <f aca="false">IF(N271="","",ROUND(MIN($M271,Settings!$B$29)*N271,0)+ROUND(MIN($M271,Settings!$B$30)*O271,0))</f>
        <v/>
      </c>
      <c r="T271" s="34" t="str">
        <f aca="false">IF(N271="","",IF(UPPER(L271)="N",0,S271))</f>
        <v/>
      </c>
      <c r="U271" s="25" t="str">
        <f aca="false">IF(N271="","",ROUND(R271*Settings!$B$18,0))</f>
        <v/>
      </c>
      <c r="V271" s="25" t="str">
        <f aca="false">IF(N271="","",ROUND(R271*Settings!$B$19,0)-X271)</f>
        <v/>
      </c>
      <c r="W271" s="25" t="str">
        <f aca="false">IF(N271="","",IF(Settings!$B$31,ROUND(R271*Settings!$B$22,0),0))</f>
        <v/>
      </c>
      <c r="X271" s="25" t="str">
        <f aca="false">IF(N271="","",MIN(ROUND(T271*Settings!$B$20,0),ROUND(R271*Settings!$B$19,0)))</f>
        <v/>
      </c>
      <c r="Y271" s="25" t="str">
        <f aca="false">IF(N271="","",IF(Settings!$B$31,ROUND(S271*Settings!$B$21,0),0))</f>
        <v/>
      </c>
      <c r="Z271" s="25" t="str">
        <f aca="false">IF(N271="","",U271+V271+X271+W271+Y271)</f>
        <v/>
      </c>
      <c r="AA271" s="7" t="str">
        <f aca="false">IF(COUNT(C271:H271)=0,"",TRIM(IF(UPPER(K271)="N","Not a PF member, skipped. ","")&amp;IF(AND(UPPER(K271)&lt;&gt;"N",N(M271)&lt;=0),"PF wage is zero, skipped. ","")&amp;IF(AND(UPPER(K271)&lt;&gt;"N",N(M271)&gt;0,UPPER(L271)="N"),"Pension not applicable, whole 12% goes to EPF. ","")&amp;IF(AND(ISNUMBER(H271),ABS(SUM(C271:G271)-N(H271))&gt;1),"Heads in the file add up to "&amp;SUM(C271:G271)&amp;", Gross is "&amp;H271&amp;" (a pay head may be missing). ","")&amp;IF(AND(Settings!$B$32,N(H271)&gt;0,ISNUMBER(M271),N(M271)&lt;H271*0.5-0.5),"50% check: PF wage is "&amp;TEXT(M271/H271,"0%")&amp;" of gross. ","")&amp;IF(AND(N(M271)&gt;0,UPPER(K271)&lt;&gt;"N",N(N271)+N(O271)=0),"No days to count. ","")))</f>
        <v/>
      </c>
    </row>
    <row r="272" customFormat="false" ht="15" hidden="false" customHeight="false" outlineLevel="0" collapsed="false">
      <c r="A272" s="14"/>
      <c r="B272" s="14"/>
      <c r="C272" s="17"/>
      <c r="D272" s="17"/>
      <c r="E272" s="17"/>
      <c r="F272" s="17"/>
      <c r="G272" s="17"/>
      <c r="H272" s="17"/>
      <c r="I272" s="14"/>
      <c r="J272" s="14"/>
      <c r="K272" s="14"/>
      <c r="L272" s="14"/>
      <c r="M272" s="34" t="str">
        <f aca="false">IF(COUNT(C272:H272)=0,"",IFERROR(MAX(0,ROUND(IF(Settings!$B$33,IF(H272="",SUM(C272:G272),H272)-SUMPRODUCT(($C$4:$G$4="Y")*C272:G272),SUMPRODUCT(($C$4:$G$4="Y")*C272:G272)),0)),"Check inputs"))</f>
        <v/>
      </c>
      <c r="N272" s="35" t="str">
        <f aca="false">IF(AND(N($M272)&gt;0,UPPER($K272)&lt;&gt;"N"),IF(Settings!$B$28,MAX(0,MIN(Settings!$B$16,IF(I272="",Settings!$B$16,I272)))/Settings!$B$15,1),"")</f>
        <v/>
      </c>
      <c r="O272" s="35" t="str">
        <f aca="false">IF(AND(N($M272)&gt;0,UPPER($K272)&lt;&gt;"N"),IF(Settings!$B$28,MAX(0,MIN(Settings!$B$17,IF(J272="",Settings!$B$17,J272)))/Settings!$B$15,0),"")</f>
        <v/>
      </c>
      <c r="P272" s="34" t="str">
        <f aca="false">IF(N272="","",ROUND(IF(Settings!$B$27,MIN($M272,Settings!$B$29),$M272)*N272,0))</f>
        <v/>
      </c>
      <c r="Q272" s="34" t="str">
        <f aca="false">IF(N272="","",ROUND(IF(Settings!$B$27,MIN($M272,Settings!$B$30),$M272)*O272,0))</f>
        <v/>
      </c>
      <c r="R272" s="34" t="str">
        <f aca="false">IF(N272="","",P272+Q272)</f>
        <v/>
      </c>
      <c r="S272" s="34" t="str">
        <f aca="false">IF(N272="","",ROUND(MIN($M272,Settings!$B$29)*N272,0)+ROUND(MIN($M272,Settings!$B$30)*O272,0))</f>
        <v/>
      </c>
      <c r="T272" s="34" t="str">
        <f aca="false">IF(N272="","",IF(UPPER(L272)="N",0,S272))</f>
        <v/>
      </c>
      <c r="U272" s="25" t="str">
        <f aca="false">IF(N272="","",ROUND(R272*Settings!$B$18,0))</f>
        <v/>
      </c>
      <c r="V272" s="25" t="str">
        <f aca="false">IF(N272="","",ROUND(R272*Settings!$B$19,0)-X272)</f>
        <v/>
      </c>
      <c r="W272" s="25" t="str">
        <f aca="false">IF(N272="","",IF(Settings!$B$31,ROUND(R272*Settings!$B$22,0),0))</f>
        <v/>
      </c>
      <c r="X272" s="25" t="str">
        <f aca="false">IF(N272="","",MIN(ROUND(T272*Settings!$B$20,0),ROUND(R272*Settings!$B$19,0)))</f>
        <v/>
      </c>
      <c r="Y272" s="25" t="str">
        <f aca="false">IF(N272="","",IF(Settings!$B$31,ROUND(S272*Settings!$B$21,0),0))</f>
        <v/>
      </c>
      <c r="Z272" s="25" t="str">
        <f aca="false">IF(N272="","",U272+V272+X272+W272+Y272)</f>
        <v/>
      </c>
      <c r="AA272" s="7" t="str">
        <f aca="false">IF(COUNT(C272:H272)=0,"",TRIM(IF(UPPER(K272)="N","Not a PF member, skipped. ","")&amp;IF(AND(UPPER(K272)&lt;&gt;"N",N(M272)&lt;=0),"PF wage is zero, skipped. ","")&amp;IF(AND(UPPER(K272)&lt;&gt;"N",N(M272)&gt;0,UPPER(L272)="N"),"Pension not applicable, whole 12% goes to EPF. ","")&amp;IF(AND(ISNUMBER(H272),ABS(SUM(C272:G272)-N(H272))&gt;1),"Heads in the file add up to "&amp;SUM(C272:G272)&amp;", Gross is "&amp;H272&amp;" (a pay head may be missing). ","")&amp;IF(AND(Settings!$B$32,N(H272)&gt;0,ISNUMBER(M272),N(M272)&lt;H272*0.5-0.5),"50% check: PF wage is "&amp;TEXT(M272/H272,"0%")&amp;" of gross. ","")&amp;IF(AND(N(M272)&gt;0,UPPER(K272)&lt;&gt;"N",N(N272)+N(O272)=0),"No days to count. ","")))</f>
        <v/>
      </c>
    </row>
    <row r="273" customFormat="false" ht="15" hidden="false" customHeight="false" outlineLevel="0" collapsed="false">
      <c r="A273" s="14"/>
      <c r="B273" s="14"/>
      <c r="C273" s="17"/>
      <c r="D273" s="17"/>
      <c r="E273" s="17"/>
      <c r="F273" s="17"/>
      <c r="G273" s="17"/>
      <c r="H273" s="17"/>
      <c r="I273" s="14"/>
      <c r="J273" s="14"/>
      <c r="K273" s="14"/>
      <c r="L273" s="14"/>
      <c r="M273" s="34" t="str">
        <f aca="false">IF(COUNT(C273:H273)=0,"",IFERROR(MAX(0,ROUND(IF(Settings!$B$33,IF(H273="",SUM(C273:G273),H273)-SUMPRODUCT(($C$4:$G$4="Y")*C273:G273),SUMPRODUCT(($C$4:$G$4="Y")*C273:G273)),0)),"Check inputs"))</f>
        <v/>
      </c>
      <c r="N273" s="35" t="str">
        <f aca="false">IF(AND(N($M273)&gt;0,UPPER($K273)&lt;&gt;"N"),IF(Settings!$B$28,MAX(0,MIN(Settings!$B$16,IF(I273="",Settings!$B$16,I273)))/Settings!$B$15,1),"")</f>
        <v/>
      </c>
      <c r="O273" s="35" t="str">
        <f aca="false">IF(AND(N($M273)&gt;0,UPPER($K273)&lt;&gt;"N"),IF(Settings!$B$28,MAX(0,MIN(Settings!$B$17,IF(J273="",Settings!$B$17,J273)))/Settings!$B$15,0),"")</f>
        <v/>
      </c>
      <c r="P273" s="34" t="str">
        <f aca="false">IF(N273="","",ROUND(IF(Settings!$B$27,MIN($M273,Settings!$B$29),$M273)*N273,0))</f>
        <v/>
      </c>
      <c r="Q273" s="34" t="str">
        <f aca="false">IF(N273="","",ROUND(IF(Settings!$B$27,MIN($M273,Settings!$B$30),$M273)*O273,0))</f>
        <v/>
      </c>
      <c r="R273" s="34" t="str">
        <f aca="false">IF(N273="","",P273+Q273)</f>
        <v/>
      </c>
      <c r="S273" s="34" t="str">
        <f aca="false">IF(N273="","",ROUND(MIN($M273,Settings!$B$29)*N273,0)+ROUND(MIN($M273,Settings!$B$30)*O273,0))</f>
        <v/>
      </c>
      <c r="T273" s="34" t="str">
        <f aca="false">IF(N273="","",IF(UPPER(L273)="N",0,S273))</f>
        <v/>
      </c>
      <c r="U273" s="25" t="str">
        <f aca="false">IF(N273="","",ROUND(R273*Settings!$B$18,0))</f>
        <v/>
      </c>
      <c r="V273" s="25" t="str">
        <f aca="false">IF(N273="","",ROUND(R273*Settings!$B$19,0)-X273)</f>
        <v/>
      </c>
      <c r="W273" s="25" t="str">
        <f aca="false">IF(N273="","",IF(Settings!$B$31,ROUND(R273*Settings!$B$22,0),0))</f>
        <v/>
      </c>
      <c r="X273" s="25" t="str">
        <f aca="false">IF(N273="","",MIN(ROUND(T273*Settings!$B$20,0),ROUND(R273*Settings!$B$19,0)))</f>
        <v/>
      </c>
      <c r="Y273" s="25" t="str">
        <f aca="false">IF(N273="","",IF(Settings!$B$31,ROUND(S273*Settings!$B$21,0),0))</f>
        <v/>
      </c>
      <c r="Z273" s="25" t="str">
        <f aca="false">IF(N273="","",U273+V273+X273+W273+Y273)</f>
        <v/>
      </c>
      <c r="AA273" s="7" t="str">
        <f aca="false">IF(COUNT(C273:H273)=0,"",TRIM(IF(UPPER(K273)="N","Not a PF member, skipped. ","")&amp;IF(AND(UPPER(K273)&lt;&gt;"N",N(M273)&lt;=0),"PF wage is zero, skipped. ","")&amp;IF(AND(UPPER(K273)&lt;&gt;"N",N(M273)&gt;0,UPPER(L273)="N"),"Pension not applicable, whole 12% goes to EPF. ","")&amp;IF(AND(ISNUMBER(H273),ABS(SUM(C273:G273)-N(H273))&gt;1),"Heads in the file add up to "&amp;SUM(C273:G273)&amp;", Gross is "&amp;H273&amp;" (a pay head may be missing). ","")&amp;IF(AND(Settings!$B$32,N(H273)&gt;0,ISNUMBER(M273),N(M273)&lt;H273*0.5-0.5),"50% check: PF wage is "&amp;TEXT(M273/H273,"0%")&amp;" of gross. ","")&amp;IF(AND(N(M273)&gt;0,UPPER(K273)&lt;&gt;"N",N(N273)+N(O273)=0),"No days to count. ","")))</f>
        <v/>
      </c>
    </row>
    <row r="274" customFormat="false" ht="15" hidden="false" customHeight="false" outlineLevel="0" collapsed="false">
      <c r="A274" s="14"/>
      <c r="B274" s="14"/>
      <c r="C274" s="17"/>
      <c r="D274" s="17"/>
      <c r="E274" s="17"/>
      <c r="F274" s="17"/>
      <c r="G274" s="17"/>
      <c r="H274" s="17"/>
      <c r="I274" s="14"/>
      <c r="J274" s="14"/>
      <c r="K274" s="14"/>
      <c r="L274" s="14"/>
      <c r="M274" s="34" t="str">
        <f aca="false">IF(COUNT(C274:H274)=0,"",IFERROR(MAX(0,ROUND(IF(Settings!$B$33,IF(H274="",SUM(C274:G274),H274)-SUMPRODUCT(($C$4:$G$4="Y")*C274:G274),SUMPRODUCT(($C$4:$G$4="Y")*C274:G274)),0)),"Check inputs"))</f>
        <v/>
      </c>
      <c r="N274" s="35" t="str">
        <f aca="false">IF(AND(N($M274)&gt;0,UPPER($K274)&lt;&gt;"N"),IF(Settings!$B$28,MAX(0,MIN(Settings!$B$16,IF(I274="",Settings!$B$16,I274)))/Settings!$B$15,1),"")</f>
        <v/>
      </c>
      <c r="O274" s="35" t="str">
        <f aca="false">IF(AND(N($M274)&gt;0,UPPER($K274)&lt;&gt;"N"),IF(Settings!$B$28,MAX(0,MIN(Settings!$B$17,IF(J274="",Settings!$B$17,J274)))/Settings!$B$15,0),"")</f>
        <v/>
      </c>
      <c r="P274" s="34" t="str">
        <f aca="false">IF(N274="","",ROUND(IF(Settings!$B$27,MIN($M274,Settings!$B$29),$M274)*N274,0))</f>
        <v/>
      </c>
      <c r="Q274" s="34" t="str">
        <f aca="false">IF(N274="","",ROUND(IF(Settings!$B$27,MIN($M274,Settings!$B$30),$M274)*O274,0))</f>
        <v/>
      </c>
      <c r="R274" s="34" t="str">
        <f aca="false">IF(N274="","",P274+Q274)</f>
        <v/>
      </c>
      <c r="S274" s="34" t="str">
        <f aca="false">IF(N274="","",ROUND(MIN($M274,Settings!$B$29)*N274,0)+ROUND(MIN($M274,Settings!$B$30)*O274,0))</f>
        <v/>
      </c>
      <c r="T274" s="34" t="str">
        <f aca="false">IF(N274="","",IF(UPPER(L274)="N",0,S274))</f>
        <v/>
      </c>
      <c r="U274" s="25" t="str">
        <f aca="false">IF(N274="","",ROUND(R274*Settings!$B$18,0))</f>
        <v/>
      </c>
      <c r="V274" s="25" t="str">
        <f aca="false">IF(N274="","",ROUND(R274*Settings!$B$19,0)-X274)</f>
        <v/>
      </c>
      <c r="W274" s="25" t="str">
        <f aca="false">IF(N274="","",IF(Settings!$B$31,ROUND(R274*Settings!$B$22,0),0))</f>
        <v/>
      </c>
      <c r="X274" s="25" t="str">
        <f aca="false">IF(N274="","",MIN(ROUND(T274*Settings!$B$20,0),ROUND(R274*Settings!$B$19,0)))</f>
        <v/>
      </c>
      <c r="Y274" s="25" t="str">
        <f aca="false">IF(N274="","",IF(Settings!$B$31,ROUND(S274*Settings!$B$21,0),0))</f>
        <v/>
      </c>
      <c r="Z274" s="25" t="str">
        <f aca="false">IF(N274="","",U274+V274+X274+W274+Y274)</f>
        <v/>
      </c>
      <c r="AA274" s="7" t="str">
        <f aca="false">IF(COUNT(C274:H274)=0,"",TRIM(IF(UPPER(K274)="N","Not a PF member, skipped. ","")&amp;IF(AND(UPPER(K274)&lt;&gt;"N",N(M274)&lt;=0),"PF wage is zero, skipped. ","")&amp;IF(AND(UPPER(K274)&lt;&gt;"N",N(M274)&gt;0,UPPER(L274)="N"),"Pension not applicable, whole 12% goes to EPF. ","")&amp;IF(AND(ISNUMBER(H274),ABS(SUM(C274:G274)-N(H274))&gt;1),"Heads in the file add up to "&amp;SUM(C274:G274)&amp;", Gross is "&amp;H274&amp;" (a pay head may be missing). ","")&amp;IF(AND(Settings!$B$32,N(H274)&gt;0,ISNUMBER(M274),N(M274)&lt;H274*0.5-0.5),"50% check: PF wage is "&amp;TEXT(M274/H274,"0%")&amp;" of gross. ","")&amp;IF(AND(N(M274)&gt;0,UPPER(K274)&lt;&gt;"N",N(N274)+N(O274)=0),"No days to count. ","")))</f>
        <v/>
      </c>
    </row>
    <row r="275" customFormat="false" ht="15" hidden="false" customHeight="false" outlineLevel="0" collapsed="false">
      <c r="A275" s="14"/>
      <c r="B275" s="14"/>
      <c r="C275" s="17"/>
      <c r="D275" s="17"/>
      <c r="E275" s="17"/>
      <c r="F275" s="17"/>
      <c r="G275" s="17"/>
      <c r="H275" s="17"/>
      <c r="I275" s="14"/>
      <c r="J275" s="14"/>
      <c r="K275" s="14"/>
      <c r="L275" s="14"/>
      <c r="M275" s="34" t="str">
        <f aca="false">IF(COUNT(C275:H275)=0,"",IFERROR(MAX(0,ROUND(IF(Settings!$B$33,IF(H275="",SUM(C275:G275),H275)-SUMPRODUCT(($C$4:$G$4="Y")*C275:G275),SUMPRODUCT(($C$4:$G$4="Y")*C275:G275)),0)),"Check inputs"))</f>
        <v/>
      </c>
      <c r="N275" s="35" t="str">
        <f aca="false">IF(AND(N($M275)&gt;0,UPPER($K275)&lt;&gt;"N"),IF(Settings!$B$28,MAX(0,MIN(Settings!$B$16,IF(I275="",Settings!$B$16,I275)))/Settings!$B$15,1),"")</f>
        <v/>
      </c>
      <c r="O275" s="35" t="str">
        <f aca="false">IF(AND(N($M275)&gt;0,UPPER($K275)&lt;&gt;"N"),IF(Settings!$B$28,MAX(0,MIN(Settings!$B$17,IF(J275="",Settings!$B$17,J275)))/Settings!$B$15,0),"")</f>
        <v/>
      </c>
      <c r="P275" s="34" t="str">
        <f aca="false">IF(N275="","",ROUND(IF(Settings!$B$27,MIN($M275,Settings!$B$29),$M275)*N275,0))</f>
        <v/>
      </c>
      <c r="Q275" s="34" t="str">
        <f aca="false">IF(N275="","",ROUND(IF(Settings!$B$27,MIN($M275,Settings!$B$30),$M275)*O275,0))</f>
        <v/>
      </c>
      <c r="R275" s="34" t="str">
        <f aca="false">IF(N275="","",P275+Q275)</f>
        <v/>
      </c>
      <c r="S275" s="34" t="str">
        <f aca="false">IF(N275="","",ROUND(MIN($M275,Settings!$B$29)*N275,0)+ROUND(MIN($M275,Settings!$B$30)*O275,0))</f>
        <v/>
      </c>
      <c r="T275" s="34" t="str">
        <f aca="false">IF(N275="","",IF(UPPER(L275)="N",0,S275))</f>
        <v/>
      </c>
      <c r="U275" s="25" t="str">
        <f aca="false">IF(N275="","",ROUND(R275*Settings!$B$18,0))</f>
        <v/>
      </c>
      <c r="V275" s="25" t="str">
        <f aca="false">IF(N275="","",ROUND(R275*Settings!$B$19,0)-X275)</f>
        <v/>
      </c>
      <c r="W275" s="25" t="str">
        <f aca="false">IF(N275="","",IF(Settings!$B$31,ROUND(R275*Settings!$B$22,0),0))</f>
        <v/>
      </c>
      <c r="X275" s="25" t="str">
        <f aca="false">IF(N275="","",MIN(ROUND(T275*Settings!$B$20,0),ROUND(R275*Settings!$B$19,0)))</f>
        <v/>
      </c>
      <c r="Y275" s="25" t="str">
        <f aca="false">IF(N275="","",IF(Settings!$B$31,ROUND(S275*Settings!$B$21,0),0))</f>
        <v/>
      </c>
      <c r="Z275" s="25" t="str">
        <f aca="false">IF(N275="","",U275+V275+X275+W275+Y275)</f>
        <v/>
      </c>
      <c r="AA275" s="7" t="str">
        <f aca="false">IF(COUNT(C275:H275)=0,"",TRIM(IF(UPPER(K275)="N","Not a PF member, skipped. ","")&amp;IF(AND(UPPER(K275)&lt;&gt;"N",N(M275)&lt;=0),"PF wage is zero, skipped. ","")&amp;IF(AND(UPPER(K275)&lt;&gt;"N",N(M275)&gt;0,UPPER(L275)="N"),"Pension not applicable, whole 12% goes to EPF. ","")&amp;IF(AND(ISNUMBER(H275),ABS(SUM(C275:G275)-N(H275))&gt;1),"Heads in the file add up to "&amp;SUM(C275:G275)&amp;", Gross is "&amp;H275&amp;" (a pay head may be missing). ","")&amp;IF(AND(Settings!$B$32,N(H275)&gt;0,ISNUMBER(M275),N(M275)&lt;H275*0.5-0.5),"50% check: PF wage is "&amp;TEXT(M275/H275,"0%")&amp;" of gross. ","")&amp;IF(AND(N(M275)&gt;0,UPPER(K275)&lt;&gt;"N",N(N275)+N(O275)=0),"No days to count. ","")))</f>
        <v/>
      </c>
    </row>
    <row r="276" customFormat="false" ht="15" hidden="false" customHeight="false" outlineLevel="0" collapsed="false">
      <c r="A276" s="14"/>
      <c r="B276" s="14"/>
      <c r="C276" s="17"/>
      <c r="D276" s="17"/>
      <c r="E276" s="17"/>
      <c r="F276" s="17"/>
      <c r="G276" s="17"/>
      <c r="H276" s="17"/>
      <c r="I276" s="14"/>
      <c r="J276" s="14"/>
      <c r="K276" s="14"/>
      <c r="L276" s="14"/>
      <c r="M276" s="34" t="str">
        <f aca="false">IF(COUNT(C276:H276)=0,"",IFERROR(MAX(0,ROUND(IF(Settings!$B$33,IF(H276="",SUM(C276:G276),H276)-SUMPRODUCT(($C$4:$G$4="Y")*C276:G276),SUMPRODUCT(($C$4:$G$4="Y")*C276:G276)),0)),"Check inputs"))</f>
        <v/>
      </c>
      <c r="N276" s="35" t="str">
        <f aca="false">IF(AND(N($M276)&gt;0,UPPER($K276)&lt;&gt;"N"),IF(Settings!$B$28,MAX(0,MIN(Settings!$B$16,IF(I276="",Settings!$B$16,I276)))/Settings!$B$15,1),"")</f>
        <v/>
      </c>
      <c r="O276" s="35" t="str">
        <f aca="false">IF(AND(N($M276)&gt;0,UPPER($K276)&lt;&gt;"N"),IF(Settings!$B$28,MAX(0,MIN(Settings!$B$17,IF(J276="",Settings!$B$17,J276)))/Settings!$B$15,0),"")</f>
        <v/>
      </c>
      <c r="P276" s="34" t="str">
        <f aca="false">IF(N276="","",ROUND(IF(Settings!$B$27,MIN($M276,Settings!$B$29),$M276)*N276,0))</f>
        <v/>
      </c>
      <c r="Q276" s="34" t="str">
        <f aca="false">IF(N276="","",ROUND(IF(Settings!$B$27,MIN($M276,Settings!$B$30),$M276)*O276,0))</f>
        <v/>
      </c>
      <c r="R276" s="34" t="str">
        <f aca="false">IF(N276="","",P276+Q276)</f>
        <v/>
      </c>
      <c r="S276" s="34" t="str">
        <f aca="false">IF(N276="","",ROUND(MIN($M276,Settings!$B$29)*N276,0)+ROUND(MIN($M276,Settings!$B$30)*O276,0))</f>
        <v/>
      </c>
      <c r="T276" s="34" t="str">
        <f aca="false">IF(N276="","",IF(UPPER(L276)="N",0,S276))</f>
        <v/>
      </c>
      <c r="U276" s="25" t="str">
        <f aca="false">IF(N276="","",ROUND(R276*Settings!$B$18,0))</f>
        <v/>
      </c>
      <c r="V276" s="25" t="str">
        <f aca="false">IF(N276="","",ROUND(R276*Settings!$B$19,0)-X276)</f>
        <v/>
      </c>
      <c r="W276" s="25" t="str">
        <f aca="false">IF(N276="","",IF(Settings!$B$31,ROUND(R276*Settings!$B$22,0),0))</f>
        <v/>
      </c>
      <c r="X276" s="25" t="str">
        <f aca="false">IF(N276="","",MIN(ROUND(T276*Settings!$B$20,0),ROUND(R276*Settings!$B$19,0)))</f>
        <v/>
      </c>
      <c r="Y276" s="25" t="str">
        <f aca="false">IF(N276="","",IF(Settings!$B$31,ROUND(S276*Settings!$B$21,0),0))</f>
        <v/>
      </c>
      <c r="Z276" s="25" t="str">
        <f aca="false">IF(N276="","",U276+V276+X276+W276+Y276)</f>
        <v/>
      </c>
      <c r="AA276" s="7" t="str">
        <f aca="false">IF(COUNT(C276:H276)=0,"",TRIM(IF(UPPER(K276)="N","Not a PF member, skipped. ","")&amp;IF(AND(UPPER(K276)&lt;&gt;"N",N(M276)&lt;=0),"PF wage is zero, skipped. ","")&amp;IF(AND(UPPER(K276)&lt;&gt;"N",N(M276)&gt;0,UPPER(L276)="N"),"Pension not applicable, whole 12% goes to EPF. ","")&amp;IF(AND(ISNUMBER(H276),ABS(SUM(C276:G276)-N(H276))&gt;1),"Heads in the file add up to "&amp;SUM(C276:G276)&amp;", Gross is "&amp;H276&amp;" (a pay head may be missing). ","")&amp;IF(AND(Settings!$B$32,N(H276)&gt;0,ISNUMBER(M276),N(M276)&lt;H276*0.5-0.5),"50% check: PF wage is "&amp;TEXT(M276/H276,"0%")&amp;" of gross. ","")&amp;IF(AND(N(M276)&gt;0,UPPER(K276)&lt;&gt;"N",N(N276)+N(O276)=0),"No days to count. ","")))</f>
        <v/>
      </c>
    </row>
    <row r="277" customFormat="false" ht="15" hidden="false" customHeight="false" outlineLevel="0" collapsed="false">
      <c r="A277" s="14"/>
      <c r="B277" s="14"/>
      <c r="C277" s="17"/>
      <c r="D277" s="17"/>
      <c r="E277" s="17"/>
      <c r="F277" s="17"/>
      <c r="G277" s="17"/>
      <c r="H277" s="17"/>
      <c r="I277" s="14"/>
      <c r="J277" s="14"/>
      <c r="K277" s="14"/>
      <c r="L277" s="14"/>
      <c r="M277" s="34" t="str">
        <f aca="false">IF(COUNT(C277:H277)=0,"",IFERROR(MAX(0,ROUND(IF(Settings!$B$33,IF(H277="",SUM(C277:G277),H277)-SUMPRODUCT(($C$4:$G$4="Y")*C277:G277),SUMPRODUCT(($C$4:$G$4="Y")*C277:G277)),0)),"Check inputs"))</f>
        <v/>
      </c>
      <c r="N277" s="35" t="str">
        <f aca="false">IF(AND(N($M277)&gt;0,UPPER($K277)&lt;&gt;"N"),IF(Settings!$B$28,MAX(0,MIN(Settings!$B$16,IF(I277="",Settings!$B$16,I277)))/Settings!$B$15,1),"")</f>
        <v/>
      </c>
      <c r="O277" s="35" t="str">
        <f aca="false">IF(AND(N($M277)&gt;0,UPPER($K277)&lt;&gt;"N"),IF(Settings!$B$28,MAX(0,MIN(Settings!$B$17,IF(J277="",Settings!$B$17,J277)))/Settings!$B$15,0),"")</f>
        <v/>
      </c>
      <c r="P277" s="34" t="str">
        <f aca="false">IF(N277="","",ROUND(IF(Settings!$B$27,MIN($M277,Settings!$B$29),$M277)*N277,0))</f>
        <v/>
      </c>
      <c r="Q277" s="34" t="str">
        <f aca="false">IF(N277="","",ROUND(IF(Settings!$B$27,MIN($M277,Settings!$B$30),$M277)*O277,0))</f>
        <v/>
      </c>
      <c r="R277" s="34" t="str">
        <f aca="false">IF(N277="","",P277+Q277)</f>
        <v/>
      </c>
      <c r="S277" s="34" t="str">
        <f aca="false">IF(N277="","",ROUND(MIN($M277,Settings!$B$29)*N277,0)+ROUND(MIN($M277,Settings!$B$30)*O277,0))</f>
        <v/>
      </c>
      <c r="T277" s="34" t="str">
        <f aca="false">IF(N277="","",IF(UPPER(L277)="N",0,S277))</f>
        <v/>
      </c>
      <c r="U277" s="25" t="str">
        <f aca="false">IF(N277="","",ROUND(R277*Settings!$B$18,0))</f>
        <v/>
      </c>
      <c r="V277" s="25" t="str">
        <f aca="false">IF(N277="","",ROUND(R277*Settings!$B$19,0)-X277)</f>
        <v/>
      </c>
      <c r="W277" s="25" t="str">
        <f aca="false">IF(N277="","",IF(Settings!$B$31,ROUND(R277*Settings!$B$22,0),0))</f>
        <v/>
      </c>
      <c r="X277" s="25" t="str">
        <f aca="false">IF(N277="","",MIN(ROUND(T277*Settings!$B$20,0),ROUND(R277*Settings!$B$19,0)))</f>
        <v/>
      </c>
      <c r="Y277" s="25" t="str">
        <f aca="false">IF(N277="","",IF(Settings!$B$31,ROUND(S277*Settings!$B$21,0),0))</f>
        <v/>
      </c>
      <c r="Z277" s="25" t="str">
        <f aca="false">IF(N277="","",U277+V277+X277+W277+Y277)</f>
        <v/>
      </c>
      <c r="AA277" s="7" t="str">
        <f aca="false">IF(COUNT(C277:H277)=0,"",TRIM(IF(UPPER(K277)="N","Not a PF member, skipped. ","")&amp;IF(AND(UPPER(K277)&lt;&gt;"N",N(M277)&lt;=0),"PF wage is zero, skipped. ","")&amp;IF(AND(UPPER(K277)&lt;&gt;"N",N(M277)&gt;0,UPPER(L277)="N"),"Pension not applicable, whole 12% goes to EPF. ","")&amp;IF(AND(ISNUMBER(H277),ABS(SUM(C277:G277)-N(H277))&gt;1),"Heads in the file add up to "&amp;SUM(C277:G277)&amp;", Gross is "&amp;H277&amp;" (a pay head may be missing). ","")&amp;IF(AND(Settings!$B$32,N(H277)&gt;0,ISNUMBER(M277),N(M277)&lt;H277*0.5-0.5),"50% check: PF wage is "&amp;TEXT(M277/H277,"0%")&amp;" of gross. ","")&amp;IF(AND(N(M277)&gt;0,UPPER(K277)&lt;&gt;"N",N(N277)+N(O277)=0),"No days to count. ","")))</f>
        <v/>
      </c>
    </row>
    <row r="278" customFormat="false" ht="15" hidden="false" customHeight="false" outlineLevel="0" collapsed="false">
      <c r="A278" s="14"/>
      <c r="B278" s="14"/>
      <c r="C278" s="17"/>
      <c r="D278" s="17"/>
      <c r="E278" s="17"/>
      <c r="F278" s="17"/>
      <c r="G278" s="17"/>
      <c r="H278" s="17"/>
      <c r="I278" s="14"/>
      <c r="J278" s="14"/>
      <c r="K278" s="14"/>
      <c r="L278" s="14"/>
      <c r="M278" s="34" t="str">
        <f aca="false">IF(COUNT(C278:H278)=0,"",IFERROR(MAX(0,ROUND(IF(Settings!$B$33,IF(H278="",SUM(C278:G278),H278)-SUMPRODUCT(($C$4:$G$4="Y")*C278:G278),SUMPRODUCT(($C$4:$G$4="Y")*C278:G278)),0)),"Check inputs"))</f>
        <v/>
      </c>
      <c r="N278" s="35" t="str">
        <f aca="false">IF(AND(N($M278)&gt;0,UPPER($K278)&lt;&gt;"N"),IF(Settings!$B$28,MAX(0,MIN(Settings!$B$16,IF(I278="",Settings!$B$16,I278)))/Settings!$B$15,1),"")</f>
        <v/>
      </c>
      <c r="O278" s="35" t="str">
        <f aca="false">IF(AND(N($M278)&gt;0,UPPER($K278)&lt;&gt;"N"),IF(Settings!$B$28,MAX(0,MIN(Settings!$B$17,IF(J278="",Settings!$B$17,J278)))/Settings!$B$15,0),"")</f>
        <v/>
      </c>
      <c r="P278" s="34" t="str">
        <f aca="false">IF(N278="","",ROUND(IF(Settings!$B$27,MIN($M278,Settings!$B$29),$M278)*N278,0))</f>
        <v/>
      </c>
      <c r="Q278" s="34" t="str">
        <f aca="false">IF(N278="","",ROUND(IF(Settings!$B$27,MIN($M278,Settings!$B$30),$M278)*O278,0))</f>
        <v/>
      </c>
      <c r="R278" s="34" t="str">
        <f aca="false">IF(N278="","",P278+Q278)</f>
        <v/>
      </c>
      <c r="S278" s="34" t="str">
        <f aca="false">IF(N278="","",ROUND(MIN($M278,Settings!$B$29)*N278,0)+ROUND(MIN($M278,Settings!$B$30)*O278,0))</f>
        <v/>
      </c>
      <c r="T278" s="34" t="str">
        <f aca="false">IF(N278="","",IF(UPPER(L278)="N",0,S278))</f>
        <v/>
      </c>
      <c r="U278" s="25" t="str">
        <f aca="false">IF(N278="","",ROUND(R278*Settings!$B$18,0))</f>
        <v/>
      </c>
      <c r="V278" s="25" t="str">
        <f aca="false">IF(N278="","",ROUND(R278*Settings!$B$19,0)-X278)</f>
        <v/>
      </c>
      <c r="W278" s="25" t="str">
        <f aca="false">IF(N278="","",IF(Settings!$B$31,ROUND(R278*Settings!$B$22,0),0))</f>
        <v/>
      </c>
      <c r="X278" s="25" t="str">
        <f aca="false">IF(N278="","",MIN(ROUND(T278*Settings!$B$20,0),ROUND(R278*Settings!$B$19,0)))</f>
        <v/>
      </c>
      <c r="Y278" s="25" t="str">
        <f aca="false">IF(N278="","",IF(Settings!$B$31,ROUND(S278*Settings!$B$21,0),0))</f>
        <v/>
      </c>
      <c r="Z278" s="25" t="str">
        <f aca="false">IF(N278="","",U278+V278+X278+W278+Y278)</f>
        <v/>
      </c>
      <c r="AA278" s="7" t="str">
        <f aca="false">IF(COUNT(C278:H278)=0,"",TRIM(IF(UPPER(K278)="N","Not a PF member, skipped. ","")&amp;IF(AND(UPPER(K278)&lt;&gt;"N",N(M278)&lt;=0),"PF wage is zero, skipped. ","")&amp;IF(AND(UPPER(K278)&lt;&gt;"N",N(M278)&gt;0,UPPER(L278)="N"),"Pension not applicable, whole 12% goes to EPF. ","")&amp;IF(AND(ISNUMBER(H278),ABS(SUM(C278:G278)-N(H278))&gt;1),"Heads in the file add up to "&amp;SUM(C278:G278)&amp;", Gross is "&amp;H278&amp;" (a pay head may be missing). ","")&amp;IF(AND(Settings!$B$32,N(H278)&gt;0,ISNUMBER(M278),N(M278)&lt;H278*0.5-0.5),"50% check: PF wage is "&amp;TEXT(M278/H278,"0%")&amp;" of gross. ","")&amp;IF(AND(N(M278)&gt;0,UPPER(K278)&lt;&gt;"N",N(N278)+N(O278)=0),"No days to count. ","")))</f>
        <v/>
      </c>
    </row>
    <row r="279" customFormat="false" ht="15" hidden="false" customHeight="false" outlineLevel="0" collapsed="false">
      <c r="A279" s="14"/>
      <c r="B279" s="14"/>
      <c r="C279" s="17"/>
      <c r="D279" s="17"/>
      <c r="E279" s="17"/>
      <c r="F279" s="17"/>
      <c r="G279" s="17"/>
      <c r="H279" s="17"/>
      <c r="I279" s="14"/>
      <c r="J279" s="14"/>
      <c r="K279" s="14"/>
      <c r="L279" s="14"/>
      <c r="M279" s="34" t="str">
        <f aca="false">IF(COUNT(C279:H279)=0,"",IFERROR(MAX(0,ROUND(IF(Settings!$B$33,IF(H279="",SUM(C279:G279),H279)-SUMPRODUCT(($C$4:$G$4="Y")*C279:G279),SUMPRODUCT(($C$4:$G$4="Y")*C279:G279)),0)),"Check inputs"))</f>
        <v/>
      </c>
      <c r="N279" s="35" t="str">
        <f aca="false">IF(AND(N($M279)&gt;0,UPPER($K279)&lt;&gt;"N"),IF(Settings!$B$28,MAX(0,MIN(Settings!$B$16,IF(I279="",Settings!$B$16,I279)))/Settings!$B$15,1),"")</f>
        <v/>
      </c>
      <c r="O279" s="35" t="str">
        <f aca="false">IF(AND(N($M279)&gt;0,UPPER($K279)&lt;&gt;"N"),IF(Settings!$B$28,MAX(0,MIN(Settings!$B$17,IF(J279="",Settings!$B$17,J279)))/Settings!$B$15,0),"")</f>
        <v/>
      </c>
      <c r="P279" s="34" t="str">
        <f aca="false">IF(N279="","",ROUND(IF(Settings!$B$27,MIN($M279,Settings!$B$29),$M279)*N279,0))</f>
        <v/>
      </c>
      <c r="Q279" s="34" t="str">
        <f aca="false">IF(N279="","",ROUND(IF(Settings!$B$27,MIN($M279,Settings!$B$30),$M279)*O279,0))</f>
        <v/>
      </c>
      <c r="R279" s="34" t="str">
        <f aca="false">IF(N279="","",P279+Q279)</f>
        <v/>
      </c>
      <c r="S279" s="34" t="str">
        <f aca="false">IF(N279="","",ROUND(MIN($M279,Settings!$B$29)*N279,0)+ROUND(MIN($M279,Settings!$B$30)*O279,0))</f>
        <v/>
      </c>
      <c r="T279" s="34" t="str">
        <f aca="false">IF(N279="","",IF(UPPER(L279)="N",0,S279))</f>
        <v/>
      </c>
      <c r="U279" s="25" t="str">
        <f aca="false">IF(N279="","",ROUND(R279*Settings!$B$18,0))</f>
        <v/>
      </c>
      <c r="V279" s="25" t="str">
        <f aca="false">IF(N279="","",ROUND(R279*Settings!$B$19,0)-X279)</f>
        <v/>
      </c>
      <c r="W279" s="25" t="str">
        <f aca="false">IF(N279="","",IF(Settings!$B$31,ROUND(R279*Settings!$B$22,0),0))</f>
        <v/>
      </c>
      <c r="X279" s="25" t="str">
        <f aca="false">IF(N279="","",MIN(ROUND(T279*Settings!$B$20,0),ROUND(R279*Settings!$B$19,0)))</f>
        <v/>
      </c>
      <c r="Y279" s="25" t="str">
        <f aca="false">IF(N279="","",IF(Settings!$B$31,ROUND(S279*Settings!$B$21,0),0))</f>
        <v/>
      </c>
      <c r="Z279" s="25" t="str">
        <f aca="false">IF(N279="","",U279+V279+X279+W279+Y279)</f>
        <v/>
      </c>
      <c r="AA279" s="7" t="str">
        <f aca="false">IF(COUNT(C279:H279)=0,"",TRIM(IF(UPPER(K279)="N","Not a PF member, skipped. ","")&amp;IF(AND(UPPER(K279)&lt;&gt;"N",N(M279)&lt;=0),"PF wage is zero, skipped. ","")&amp;IF(AND(UPPER(K279)&lt;&gt;"N",N(M279)&gt;0,UPPER(L279)="N"),"Pension not applicable, whole 12% goes to EPF. ","")&amp;IF(AND(ISNUMBER(H279),ABS(SUM(C279:G279)-N(H279))&gt;1),"Heads in the file add up to "&amp;SUM(C279:G279)&amp;", Gross is "&amp;H279&amp;" (a pay head may be missing). ","")&amp;IF(AND(Settings!$B$32,N(H279)&gt;0,ISNUMBER(M279),N(M279)&lt;H279*0.5-0.5),"50% check: PF wage is "&amp;TEXT(M279/H279,"0%")&amp;" of gross. ","")&amp;IF(AND(N(M279)&gt;0,UPPER(K279)&lt;&gt;"N",N(N279)+N(O279)=0),"No days to count. ","")))</f>
        <v/>
      </c>
    </row>
    <row r="280" customFormat="false" ht="15" hidden="false" customHeight="false" outlineLevel="0" collapsed="false">
      <c r="A280" s="14"/>
      <c r="B280" s="14"/>
      <c r="C280" s="17"/>
      <c r="D280" s="17"/>
      <c r="E280" s="17"/>
      <c r="F280" s="17"/>
      <c r="G280" s="17"/>
      <c r="H280" s="17"/>
      <c r="I280" s="14"/>
      <c r="J280" s="14"/>
      <c r="K280" s="14"/>
      <c r="L280" s="14"/>
      <c r="M280" s="34" t="str">
        <f aca="false">IF(COUNT(C280:H280)=0,"",IFERROR(MAX(0,ROUND(IF(Settings!$B$33,IF(H280="",SUM(C280:G280),H280)-SUMPRODUCT(($C$4:$G$4="Y")*C280:G280),SUMPRODUCT(($C$4:$G$4="Y")*C280:G280)),0)),"Check inputs"))</f>
        <v/>
      </c>
      <c r="N280" s="35" t="str">
        <f aca="false">IF(AND(N($M280)&gt;0,UPPER($K280)&lt;&gt;"N"),IF(Settings!$B$28,MAX(0,MIN(Settings!$B$16,IF(I280="",Settings!$B$16,I280)))/Settings!$B$15,1),"")</f>
        <v/>
      </c>
      <c r="O280" s="35" t="str">
        <f aca="false">IF(AND(N($M280)&gt;0,UPPER($K280)&lt;&gt;"N"),IF(Settings!$B$28,MAX(0,MIN(Settings!$B$17,IF(J280="",Settings!$B$17,J280)))/Settings!$B$15,0),"")</f>
        <v/>
      </c>
      <c r="P280" s="34" t="str">
        <f aca="false">IF(N280="","",ROUND(IF(Settings!$B$27,MIN($M280,Settings!$B$29),$M280)*N280,0))</f>
        <v/>
      </c>
      <c r="Q280" s="34" t="str">
        <f aca="false">IF(N280="","",ROUND(IF(Settings!$B$27,MIN($M280,Settings!$B$30),$M280)*O280,0))</f>
        <v/>
      </c>
      <c r="R280" s="34" t="str">
        <f aca="false">IF(N280="","",P280+Q280)</f>
        <v/>
      </c>
      <c r="S280" s="34" t="str">
        <f aca="false">IF(N280="","",ROUND(MIN($M280,Settings!$B$29)*N280,0)+ROUND(MIN($M280,Settings!$B$30)*O280,0))</f>
        <v/>
      </c>
      <c r="T280" s="34" t="str">
        <f aca="false">IF(N280="","",IF(UPPER(L280)="N",0,S280))</f>
        <v/>
      </c>
      <c r="U280" s="25" t="str">
        <f aca="false">IF(N280="","",ROUND(R280*Settings!$B$18,0))</f>
        <v/>
      </c>
      <c r="V280" s="25" t="str">
        <f aca="false">IF(N280="","",ROUND(R280*Settings!$B$19,0)-X280)</f>
        <v/>
      </c>
      <c r="W280" s="25" t="str">
        <f aca="false">IF(N280="","",IF(Settings!$B$31,ROUND(R280*Settings!$B$22,0),0))</f>
        <v/>
      </c>
      <c r="X280" s="25" t="str">
        <f aca="false">IF(N280="","",MIN(ROUND(T280*Settings!$B$20,0),ROUND(R280*Settings!$B$19,0)))</f>
        <v/>
      </c>
      <c r="Y280" s="25" t="str">
        <f aca="false">IF(N280="","",IF(Settings!$B$31,ROUND(S280*Settings!$B$21,0),0))</f>
        <v/>
      </c>
      <c r="Z280" s="25" t="str">
        <f aca="false">IF(N280="","",U280+V280+X280+W280+Y280)</f>
        <v/>
      </c>
      <c r="AA280" s="7" t="str">
        <f aca="false">IF(COUNT(C280:H280)=0,"",TRIM(IF(UPPER(K280)="N","Not a PF member, skipped. ","")&amp;IF(AND(UPPER(K280)&lt;&gt;"N",N(M280)&lt;=0),"PF wage is zero, skipped. ","")&amp;IF(AND(UPPER(K280)&lt;&gt;"N",N(M280)&gt;0,UPPER(L280)="N"),"Pension not applicable, whole 12% goes to EPF. ","")&amp;IF(AND(ISNUMBER(H280),ABS(SUM(C280:G280)-N(H280))&gt;1),"Heads in the file add up to "&amp;SUM(C280:G280)&amp;", Gross is "&amp;H280&amp;" (a pay head may be missing). ","")&amp;IF(AND(Settings!$B$32,N(H280)&gt;0,ISNUMBER(M280),N(M280)&lt;H280*0.5-0.5),"50% check: PF wage is "&amp;TEXT(M280/H280,"0%")&amp;" of gross. ","")&amp;IF(AND(N(M280)&gt;0,UPPER(K280)&lt;&gt;"N",N(N280)+N(O280)=0),"No days to count. ","")))</f>
        <v/>
      </c>
    </row>
    <row r="281" customFormat="false" ht="15" hidden="false" customHeight="false" outlineLevel="0" collapsed="false">
      <c r="A281" s="14"/>
      <c r="B281" s="14"/>
      <c r="C281" s="17"/>
      <c r="D281" s="17"/>
      <c r="E281" s="17"/>
      <c r="F281" s="17"/>
      <c r="G281" s="17"/>
      <c r="H281" s="17"/>
      <c r="I281" s="14"/>
      <c r="J281" s="14"/>
      <c r="K281" s="14"/>
      <c r="L281" s="14"/>
      <c r="M281" s="34" t="str">
        <f aca="false">IF(COUNT(C281:H281)=0,"",IFERROR(MAX(0,ROUND(IF(Settings!$B$33,IF(H281="",SUM(C281:G281),H281)-SUMPRODUCT(($C$4:$G$4="Y")*C281:G281),SUMPRODUCT(($C$4:$G$4="Y")*C281:G281)),0)),"Check inputs"))</f>
        <v/>
      </c>
      <c r="N281" s="35" t="str">
        <f aca="false">IF(AND(N($M281)&gt;0,UPPER($K281)&lt;&gt;"N"),IF(Settings!$B$28,MAX(0,MIN(Settings!$B$16,IF(I281="",Settings!$B$16,I281)))/Settings!$B$15,1),"")</f>
        <v/>
      </c>
      <c r="O281" s="35" t="str">
        <f aca="false">IF(AND(N($M281)&gt;0,UPPER($K281)&lt;&gt;"N"),IF(Settings!$B$28,MAX(0,MIN(Settings!$B$17,IF(J281="",Settings!$B$17,J281)))/Settings!$B$15,0),"")</f>
        <v/>
      </c>
      <c r="P281" s="34" t="str">
        <f aca="false">IF(N281="","",ROUND(IF(Settings!$B$27,MIN($M281,Settings!$B$29),$M281)*N281,0))</f>
        <v/>
      </c>
      <c r="Q281" s="34" t="str">
        <f aca="false">IF(N281="","",ROUND(IF(Settings!$B$27,MIN($M281,Settings!$B$30),$M281)*O281,0))</f>
        <v/>
      </c>
      <c r="R281" s="34" t="str">
        <f aca="false">IF(N281="","",P281+Q281)</f>
        <v/>
      </c>
      <c r="S281" s="34" t="str">
        <f aca="false">IF(N281="","",ROUND(MIN($M281,Settings!$B$29)*N281,0)+ROUND(MIN($M281,Settings!$B$30)*O281,0))</f>
        <v/>
      </c>
      <c r="T281" s="34" t="str">
        <f aca="false">IF(N281="","",IF(UPPER(L281)="N",0,S281))</f>
        <v/>
      </c>
      <c r="U281" s="25" t="str">
        <f aca="false">IF(N281="","",ROUND(R281*Settings!$B$18,0))</f>
        <v/>
      </c>
      <c r="V281" s="25" t="str">
        <f aca="false">IF(N281="","",ROUND(R281*Settings!$B$19,0)-X281)</f>
        <v/>
      </c>
      <c r="W281" s="25" t="str">
        <f aca="false">IF(N281="","",IF(Settings!$B$31,ROUND(R281*Settings!$B$22,0),0))</f>
        <v/>
      </c>
      <c r="X281" s="25" t="str">
        <f aca="false">IF(N281="","",MIN(ROUND(T281*Settings!$B$20,0),ROUND(R281*Settings!$B$19,0)))</f>
        <v/>
      </c>
      <c r="Y281" s="25" t="str">
        <f aca="false">IF(N281="","",IF(Settings!$B$31,ROUND(S281*Settings!$B$21,0),0))</f>
        <v/>
      </c>
      <c r="Z281" s="25" t="str">
        <f aca="false">IF(N281="","",U281+V281+X281+W281+Y281)</f>
        <v/>
      </c>
      <c r="AA281" s="7" t="str">
        <f aca="false">IF(COUNT(C281:H281)=0,"",TRIM(IF(UPPER(K281)="N","Not a PF member, skipped. ","")&amp;IF(AND(UPPER(K281)&lt;&gt;"N",N(M281)&lt;=0),"PF wage is zero, skipped. ","")&amp;IF(AND(UPPER(K281)&lt;&gt;"N",N(M281)&gt;0,UPPER(L281)="N"),"Pension not applicable, whole 12% goes to EPF. ","")&amp;IF(AND(ISNUMBER(H281),ABS(SUM(C281:G281)-N(H281))&gt;1),"Heads in the file add up to "&amp;SUM(C281:G281)&amp;", Gross is "&amp;H281&amp;" (a pay head may be missing). ","")&amp;IF(AND(Settings!$B$32,N(H281)&gt;0,ISNUMBER(M281),N(M281)&lt;H281*0.5-0.5),"50% check: PF wage is "&amp;TEXT(M281/H281,"0%")&amp;" of gross. ","")&amp;IF(AND(N(M281)&gt;0,UPPER(K281)&lt;&gt;"N",N(N281)+N(O281)=0),"No days to count. ","")))</f>
        <v/>
      </c>
    </row>
    <row r="282" customFormat="false" ht="15" hidden="false" customHeight="false" outlineLevel="0" collapsed="false">
      <c r="A282" s="14"/>
      <c r="B282" s="14"/>
      <c r="C282" s="17"/>
      <c r="D282" s="17"/>
      <c r="E282" s="17"/>
      <c r="F282" s="17"/>
      <c r="G282" s="17"/>
      <c r="H282" s="17"/>
      <c r="I282" s="14"/>
      <c r="J282" s="14"/>
      <c r="K282" s="14"/>
      <c r="L282" s="14"/>
      <c r="M282" s="34" t="str">
        <f aca="false">IF(COUNT(C282:H282)=0,"",IFERROR(MAX(0,ROUND(IF(Settings!$B$33,IF(H282="",SUM(C282:G282),H282)-SUMPRODUCT(($C$4:$G$4="Y")*C282:G282),SUMPRODUCT(($C$4:$G$4="Y")*C282:G282)),0)),"Check inputs"))</f>
        <v/>
      </c>
      <c r="N282" s="35" t="str">
        <f aca="false">IF(AND(N($M282)&gt;0,UPPER($K282)&lt;&gt;"N"),IF(Settings!$B$28,MAX(0,MIN(Settings!$B$16,IF(I282="",Settings!$B$16,I282)))/Settings!$B$15,1),"")</f>
        <v/>
      </c>
      <c r="O282" s="35" t="str">
        <f aca="false">IF(AND(N($M282)&gt;0,UPPER($K282)&lt;&gt;"N"),IF(Settings!$B$28,MAX(0,MIN(Settings!$B$17,IF(J282="",Settings!$B$17,J282)))/Settings!$B$15,0),"")</f>
        <v/>
      </c>
      <c r="P282" s="34" t="str">
        <f aca="false">IF(N282="","",ROUND(IF(Settings!$B$27,MIN($M282,Settings!$B$29),$M282)*N282,0))</f>
        <v/>
      </c>
      <c r="Q282" s="34" t="str">
        <f aca="false">IF(N282="","",ROUND(IF(Settings!$B$27,MIN($M282,Settings!$B$30),$M282)*O282,0))</f>
        <v/>
      </c>
      <c r="R282" s="34" t="str">
        <f aca="false">IF(N282="","",P282+Q282)</f>
        <v/>
      </c>
      <c r="S282" s="34" t="str">
        <f aca="false">IF(N282="","",ROUND(MIN($M282,Settings!$B$29)*N282,0)+ROUND(MIN($M282,Settings!$B$30)*O282,0))</f>
        <v/>
      </c>
      <c r="T282" s="34" t="str">
        <f aca="false">IF(N282="","",IF(UPPER(L282)="N",0,S282))</f>
        <v/>
      </c>
      <c r="U282" s="25" t="str">
        <f aca="false">IF(N282="","",ROUND(R282*Settings!$B$18,0))</f>
        <v/>
      </c>
      <c r="V282" s="25" t="str">
        <f aca="false">IF(N282="","",ROUND(R282*Settings!$B$19,0)-X282)</f>
        <v/>
      </c>
      <c r="W282" s="25" t="str">
        <f aca="false">IF(N282="","",IF(Settings!$B$31,ROUND(R282*Settings!$B$22,0),0))</f>
        <v/>
      </c>
      <c r="X282" s="25" t="str">
        <f aca="false">IF(N282="","",MIN(ROUND(T282*Settings!$B$20,0),ROUND(R282*Settings!$B$19,0)))</f>
        <v/>
      </c>
      <c r="Y282" s="25" t="str">
        <f aca="false">IF(N282="","",IF(Settings!$B$31,ROUND(S282*Settings!$B$21,0),0))</f>
        <v/>
      </c>
      <c r="Z282" s="25" t="str">
        <f aca="false">IF(N282="","",U282+V282+X282+W282+Y282)</f>
        <v/>
      </c>
      <c r="AA282" s="7" t="str">
        <f aca="false">IF(COUNT(C282:H282)=0,"",TRIM(IF(UPPER(K282)="N","Not a PF member, skipped. ","")&amp;IF(AND(UPPER(K282)&lt;&gt;"N",N(M282)&lt;=0),"PF wage is zero, skipped. ","")&amp;IF(AND(UPPER(K282)&lt;&gt;"N",N(M282)&gt;0,UPPER(L282)="N"),"Pension not applicable, whole 12% goes to EPF. ","")&amp;IF(AND(ISNUMBER(H282),ABS(SUM(C282:G282)-N(H282))&gt;1),"Heads in the file add up to "&amp;SUM(C282:G282)&amp;", Gross is "&amp;H282&amp;" (a pay head may be missing). ","")&amp;IF(AND(Settings!$B$32,N(H282)&gt;0,ISNUMBER(M282),N(M282)&lt;H282*0.5-0.5),"50% check: PF wage is "&amp;TEXT(M282/H282,"0%")&amp;" of gross. ","")&amp;IF(AND(N(M282)&gt;0,UPPER(K282)&lt;&gt;"N",N(N282)+N(O282)=0),"No days to count. ","")))</f>
        <v/>
      </c>
    </row>
    <row r="283" customFormat="false" ht="15" hidden="false" customHeight="false" outlineLevel="0" collapsed="false">
      <c r="A283" s="14"/>
      <c r="B283" s="14"/>
      <c r="C283" s="17"/>
      <c r="D283" s="17"/>
      <c r="E283" s="17"/>
      <c r="F283" s="17"/>
      <c r="G283" s="17"/>
      <c r="H283" s="17"/>
      <c r="I283" s="14"/>
      <c r="J283" s="14"/>
      <c r="K283" s="14"/>
      <c r="L283" s="14"/>
      <c r="M283" s="34" t="str">
        <f aca="false">IF(COUNT(C283:H283)=0,"",IFERROR(MAX(0,ROUND(IF(Settings!$B$33,IF(H283="",SUM(C283:G283),H283)-SUMPRODUCT(($C$4:$G$4="Y")*C283:G283),SUMPRODUCT(($C$4:$G$4="Y")*C283:G283)),0)),"Check inputs"))</f>
        <v/>
      </c>
      <c r="N283" s="35" t="str">
        <f aca="false">IF(AND(N($M283)&gt;0,UPPER($K283)&lt;&gt;"N"),IF(Settings!$B$28,MAX(0,MIN(Settings!$B$16,IF(I283="",Settings!$B$16,I283)))/Settings!$B$15,1),"")</f>
        <v/>
      </c>
      <c r="O283" s="35" t="str">
        <f aca="false">IF(AND(N($M283)&gt;0,UPPER($K283)&lt;&gt;"N"),IF(Settings!$B$28,MAX(0,MIN(Settings!$B$17,IF(J283="",Settings!$B$17,J283)))/Settings!$B$15,0),"")</f>
        <v/>
      </c>
      <c r="P283" s="34" t="str">
        <f aca="false">IF(N283="","",ROUND(IF(Settings!$B$27,MIN($M283,Settings!$B$29),$M283)*N283,0))</f>
        <v/>
      </c>
      <c r="Q283" s="34" t="str">
        <f aca="false">IF(N283="","",ROUND(IF(Settings!$B$27,MIN($M283,Settings!$B$30),$M283)*O283,0))</f>
        <v/>
      </c>
      <c r="R283" s="34" t="str">
        <f aca="false">IF(N283="","",P283+Q283)</f>
        <v/>
      </c>
      <c r="S283" s="34" t="str">
        <f aca="false">IF(N283="","",ROUND(MIN($M283,Settings!$B$29)*N283,0)+ROUND(MIN($M283,Settings!$B$30)*O283,0))</f>
        <v/>
      </c>
      <c r="T283" s="34" t="str">
        <f aca="false">IF(N283="","",IF(UPPER(L283)="N",0,S283))</f>
        <v/>
      </c>
      <c r="U283" s="25" t="str">
        <f aca="false">IF(N283="","",ROUND(R283*Settings!$B$18,0))</f>
        <v/>
      </c>
      <c r="V283" s="25" t="str">
        <f aca="false">IF(N283="","",ROUND(R283*Settings!$B$19,0)-X283)</f>
        <v/>
      </c>
      <c r="W283" s="25" t="str">
        <f aca="false">IF(N283="","",IF(Settings!$B$31,ROUND(R283*Settings!$B$22,0),0))</f>
        <v/>
      </c>
      <c r="X283" s="25" t="str">
        <f aca="false">IF(N283="","",MIN(ROUND(T283*Settings!$B$20,0),ROUND(R283*Settings!$B$19,0)))</f>
        <v/>
      </c>
      <c r="Y283" s="25" t="str">
        <f aca="false">IF(N283="","",IF(Settings!$B$31,ROUND(S283*Settings!$B$21,0),0))</f>
        <v/>
      </c>
      <c r="Z283" s="25" t="str">
        <f aca="false">IF(N283="","",U283+V283+X283+W283+Y283)</f>
        <v/>
      </c>
      <c r="AA283" s="7" t="str">
        <f aca="false">IF(COUNT(C283:H283)=0,"",TRIM(IF(UPPER(K283)="N","Not a PF member, skipped. ","")&amp;IF(AND(UPPER(K283)&lt;&gt;"N",N(M283)&lt;=0),"PF wage is zero, skipped. ","")&amp;IF(AND(UPPER(K283)&lt;&gt;"N",N(M283)&gt;0,UPPER(L283)="N"),"Pension not applicable, whole 12% goes to EPF. ","")&amp;IF(AND(ISNUMBER(H283),ABS(SUM(C283:G283)-N(H283))&gt;1),"Heads in the file add up to "&amp;SUM(C283:G283)&amp;", Gross is "&amp;H283&amp;" (a pay head may be missing). ","")&amp;IF(AND(Settings!$B$32,N(H283)&gt;0,ISNUMBER(M283),N(M283)&lt;H283*0.5-0.5),"50% check: PF wage is "&amp;TEXT(M283/H283,"0%")&amp;" of gross. ","")&amp;IF(AND(N(M283)&gt;0,UPPER(K283)&lt;&gt;"N",N(N283)+N(O283)=0),"No days to count. ","")))</f>
        <v/>
      </c>
    </row>
    <row r="284" customFormat="false" ht="15" hidden="false" customHeight="false" outlineLevel="0" collapsed="false">
      <c r="A284" s="14"/>
      <c r="B284" s="14"/>
      <c r="C284" s="17"/>
      <c r="D284" s="17"/>
      <c r="E284" s="17"/>
      <c r="F284" s="17"/>
      <c r="G284" s="17"/>
      <c r="H284" s="17"/>
      <c r="I284" s="14"/>
      <c r="J284" s="14"/>
      <c r="K284" s="14"/>
      <c r="L284" s="14"/>
      <c r="M284" s="34" t="str">
        <f aca="false">IF(COUNT(C284:H284)=0,"",IFERROR(MAX(0,ROUND(IF(Settings!$B$33,IF(H284="",SUM(C284:G284),H284)-SUMPRODUCT(($C$4:$G$4="Y")*C284:G284),SUMPRODUCT(($C$4:$G$4="Y")*C284:G284)),0)),"Check inputs"))</f>
        <v/>
      </c>
      <c r="N284" s="35" t="str">
        <f aca="false">IF(AND(N($M284)&gt;0,UPPER($K284)&lt;&gt;"N"),IF(Settings!$B$28,MAX(0,MIN(Settings!$B$16,IF(I284="",Settings!$B$16,I284)))/Settings!$B$15,1),"")</f>
        <v/>
      </c>
      <c r="O284" s="35" t="str">
        <f aca="false">IF(AND(N($M284)&gt;0,UPPER($K284)&lt;&gt;"N"),IF(Settings!$B$28,MAX(0,MIN(Settings!$B$17,IF(J284="",Settings!$B$17,J284)))/Settings!$B$15,0),"")</f>
        <v/>
      </c>
      <c r="P284" s="34" t="str">
        <f aca="false">IF(N284="","",ROUND(IF(Settings!$B$27,MIN($M284,Settings!$B$29),$M284)*N284,0))</f>
        <v/>
      </c>
      <c r="Q284" s="34" t="str">
        <f aca="false">IF(N284="","",ROUND(IF(Settings!$B$27,MIN($M284,Settings!$B$30),$M284)*O284,0))</f>
        <v/>
      </c>
      <c r="R284" s="34" t="str">
        <f aca="false">IF(N284="","",P284+Q284)</f>
        <v/>
      </c>
      <c r="S284" s="34" t="str">
        <f aca="false">IF(N284="","",ROUND(MIN($M284,Settings!$B$29)*N284,0)+ROUND(MIN($M284,Settings!$B$30)*O284,0))</f>
        <v/>
      </c>
      <c r="T284" s="34" t="str">
        <f aca="false">IF(N284="","",IF(UPPER(L284)="N",0,S284))</f>
        <v/>
      </c>
      <c r="U284" s="25" t="str">
        <f aca="false">IF(N284="","",ROUND(R284*Settings!$B$18,0))</f>
        <v/>
      </c>
      <c r="V284" s="25" t="str">
        <f aca="false">IF(N284="","",ROUND(R284*Settings!$B$19,0)-X284)</f>
        <v/>
      </c>
      <c r="W284" s="25" t="str">
        <f aca="false">IF(N284="","",IF(Settings!$B$31,ROUND(R284*Settings!$B$22,0),0))</f>
        <v/>
      </c>
      <c r="X284" s="25" t="str">
        <f aca="false">IF(N284="","",MIN(ROUND(T284*Settings!$B$20,0),ROUND(R284*Settings!$B$19,0)))</f>
        <v/>
      </c>
      <c r="Y284" s="25" t="str">
        <f aca="false">IF(N284="","",IF(Settings!$B$31,ROUND(S284*Settings!$B$21,0),0))</f>
        <v/>
      </c>
      <c r="Z284" s="25" t="str">
        <f aca="false">IF(N284="","",U284+V284+X284+W284+Y284)</f>
        <v/>
      </c>
      <c r="AA284" s="7" t="str">
        <f aca="false">IF(COUNT(C284:H284)=0,"",TRIM(IF(UPPER(K284)="N","Not a PF member, skipped. ","")&amp;IF(AND(UPPER(K284)&lt;&gt;"N",N(M284)&lt;=0),"PF wage is zero, skipped. ","")&amp;IF(AND(UPPER(K284)&lt;&gt;"N",N(M284)&gt;0,UPPER(L284)="N"),"Pension not applicable, whole 12% goes to EPF. ","")&amp;IF(AND(ISNUMBER(H284),ABS(SUM(C284:G284)-N(H284))&gt;1),"Heads in the file add up to "&amp;SUM(C284:G284)&amp;", Gross is "&amp;H284&amp;" (a pay head may be missing). ","")&amp;IF(AND(Settings!$B$32,N(H284)&gt;0,ISNUMBER(M284),N(M284)&lt;H284*0.5-0.5),"50% check: PF wage is "&amp;TEXT(M284/H284,"0%")&amp;" of gross. ","")&amp;IF(AND(N(M284)&gt;0,UPPER(K284)&lt;&gt;"N",N(N284)+N(O284)=0),"No days to count. ","")))</f>
        <v/>
      </c>
    </row>
    <row r="285" customFormat="false" ht="15" hidden="false" customHeight="false" outlineLevel="0" collapsed="false">
      <c r="A285" s="14"/>
      <c r="B285" s="14"/>
      <c r="C285" s="17"/>
      <c r="D285" s="17"/>
      <c r="E285" s="17"/>
      <c r="F285" s="17"/>
      <c r="G285" s="17"/>
      <c r="H285" s="17"/>
      <c r="I285" s="14"/>
      <c r="J285" s="14"/>
      <c r="K285" s="14"/>
      <c r="L285" s="14"/>
      <c r="M285" s="34" t="str">
        <f aca="false">IF(COUNT(C285:H285)=0,"",IFERROR(MAX(0,ROUND(IF(Settings!$B$33,IF(H285="",SUM(C285:G285),H285)-SUMPRODUCT(($C$4:$G$4="Y")*C285:G285),SUMPRODUCT(($C$4:$G$4="Y")*C285:G285)),0)),"Check inputs"))</f>
        <v/>
      </c>
      <c r="N285" s="35" t="str">
        <f aca="false">IF(AND(N($M285)&gt;0,UPPER($K285)&lt;&gt;"N"),IF(Settings!$B$28,MAX(0,MIN(Settings!$B$16,IF(I285="",Settings!$B$16,I285)))/Settings!$B$15,1),"")</f>
        <v/>
      </c>
      <c r="O285" s="35" t="str">
        <f aca="false">IF(AND(N($M285)&gt;0,UPPER($K285)&lt;&gt;"N"),IF(Settings!$B$28,MAX(0,MIN(Settings!$B$17,IF(J285="",Settings!$B$17,J285)))/Settings!$B$15,0),"")</f>
        <v/>
      </c>
      <c r="P285" s="34" t="str">
        <f aca="false">IF(N285="","",ROUND(IF(Settings!$B$27,MIN($M285,Settings!$B$29),$M285)*N285,0))</f>
        <v/>
      </c>
      <c r="Q285" s="34" t="str">
        <f aca="false">IF(N285="","",ROUND(IF(Settings!$B$27,MIN($M285,Settings!$B$30),$M285)*O285,0))</f>
        <v/>
      </c>
      <c r="R285" s="34" t="str">
        <f aca="false">IF(N285="","",P285+Q285)</f>
        <v/>
      </c>
      <c r="S285" s="34" t="str">
        <f aca="false">IF(N285="","",ROUND(MIN($M285,Settings!$B$29)*N285,0)+ROUND(MIN($M285,Settings!$B$30)*O285,0))</f>
        <v/>
      </c>
      <c r="T285" s="34" t="str">
        <f aca="false">IF(N285="","",IF(UPPER(L285)="N",0,S285))</f>
        <v/>
      </c>
      <c r="U285" s="25" t="str">
        <f aca="false">IF(N285="","",ROUND(R285*Settings!$B$18,0))</f>
        <v/>
      </c>
      <c r="V285" s="25" t="str">
        <f aca="false">IF(N285="","",ROUND(R285*Settings!$B$19,0)-X285)</f>
        <v/>
      </c>
      <c r="W285" s="25" t="str">
        <f aca="false">IF(N285="","",IF(Settings!$B$31,ROUND(R285*Settings!$B$22,0),0))</f>
        <v/>
      </c>
      <c r="X285" s="25" t="str">
        <f aca="false">IF(N285="","",MIN(ROUND(T285*Settings!$B$20,0),ROUND(R285*Settings!$B$19,0)))</f>
        <v/>
      </c>
      <c r="Y285" s="25" t="str">
        <f aca="false">IF(N285="","",IF(Settings!$B$31,ROUND(S285*Settings!$B$21,0),0))</f>
        <v/>
      </c>
      <c r="Z285" s="25" t="str">
        <f aca="false">IF(N285="","",U285+V285+X285+W285+Y285)</f>
        <v/>
      </c>
      <c r="AA285" s="7" t="str">
        <f aca="false">IF(COUNT(C285:H285)=0,"",TRIM(IF(UPPER(K285)="N","Not a PF member, skipped. ","")&amp;IF(AND(UPPER(K285)&lt;&gt;"N",N(M285)&lt;=0),"PF wage is zero, skipped. ","")&amp;IF(AND(UPPER(K285)&lt;&gt;"N",N(M285)&gt;0,UPPER(L285)="N"),"Pension not applicable, whole 12% goes to EPF. ","")&amp;IF(AND(ISNUMBER(H285),ABS(SUM(C285:G285)-N(H285))&gt;1),"Heads in the file add up to "&amp;SUM(C285:G285)&amp;", Gross is "&amp;H285&amp;" (a pay head may be missing). ","")&amp;IF(AND(Settings!$B$32,N(H285)&gt;0,ISNUMBER(M285),N(M285)&lt;H285*0.5-0.5),"50% check: PF wage is "&amp;TEXT(M285/H285,"0%")&amp;" of gross. ","")&amp;IF(AND(N(M285)&gt;0,UPPER(K285)&lt;&gt;"N",N(N285)+N(O285)=0),"No days to count. ","")))</f>
        <v/>
      </c>
    </row>
    <row r="286" customFormat="false" ht="15" hidden="false" customHeight="false" outlineLevel="0" collapsed="false">
      <c r="A286" s="14"/>
      <c r="B286" s="14"/>
      <c r="C286" s="17"/>
      <c r="D286" s="17"/>
      <c r="E286" s="17"/>
      <c r="F286" s="17"/>
      <c r="G286" s="17"/>
      <c r="H286" s="17"/>
      <c r="I286" s="14"/>
      <c r="J286" s="14"/>
      <c r="K286" s="14"/>
      <c r="L286" s="14"/>
      <c r="M286" s="34" t="str">
        <f aca="false">IF(COUNT(C286:H286)=0,"",IFERROR(MAX(0,ROUND(IF(Settings!$B$33,IF(H286="",SUM(C286:G286),H286)-SUMPRODUCT(($C$4:$G$4="Y")*C286:G286),SUMPRODUCT(($C$4:$G$4="Y")*C286:G286)),0)),"Check inputs"))</f>
        <v/>
      </c>
      <c r="N286" s="35" t="str">
        <f aca="false">IF(AND(N($M286)&gt;0,UPPER($K286)&lt;&gt;"N"),IF(Settings!$B$28,MAX(0,MIN(Settings!$B$16,IF(I286="",Settings!$B$16,I286)))/Settings!$B$15,1),"")</f>
        <v/>
      </c>
      <c r="O286" s="35" t="str">
        <f aca="false">IF(AND(N($M286)&gt;0,UPPER($K286)&lt;&gt;"N"),IF(Settings!$B$28,MAX(0,MIN(Settings!$B$17,IF(J286="",Settings!$B$17,J286)))/Settings!$B$15,0),"")</f>
        <v/>
      </c>
      <c r="P286" s="34" t="str">
        <f aca="false">IF(N286="","",ROUND(IF(Settings!$B$27,MIN($M286,Settings!$B$29),$M286)*N286,0))</f>
        <v/>
      </c>
      <c r="Q286" s="34" t="str">
        <f aca="false">IF(N286="","",ROUND(IF(Settings!$B$27,MIN($M286,Settings!$B$30),$M286)*O286,0))</f>
        <v/>
      </c>
      <c r="R286" s="34" t="str">
        <f aca="false">IF(N286="","",P286+Q286)</f>
        <v/>
      </c>
      <c r="S286" s="34" t="str">
        <f aca="false">IF(N286="","",ROUND(MIN($M286,Settings!$B$29)*N286,0)+ROUND(MIN($M286,Settings!$B$30)*O286,0))</f>
        <v/>
      </c>
      <c r="T286" s="34" t="str">
        <f aca="false">IF(N286="","",IF(UPPER(L286)="N",0,S286))</f>
        <v/>
      </c>
      <c r="U286" s="25" t="str">
        <f aca="false">IF(N286="","",ROUND(R286*Settings!$B$18,0))</f>
        <v/>
      </c>
      <c r="V286" s="25" t="str">
        <f aca="false">IF(N286="","",ROUND(R286*Settings!$B$19,0)-X286)</f>
        <v/>
      </c>
      <c r="W286" s="25" t="str">
        <f aca="false">IF(N286="","",IF(Settings!$B$31,ROUND(R286*Settings!$B$22,0),0))</f>
        <v/>
      </c>
      <c r="X286" s="25" t="str">
        <f aca="false">IF(N286="","",MIN(ROUND(T286*Settings!$B$20,0),ROUND(R286*Settings!$B$19,0)))</f>
        <v/>
      </c>
      <c r="Y286" s="25" t="str">
        <f aca="false">IF(N286="","",IF(Settings!$B$31,ROUND(S286*Settings!$B$21,0),0))</f>
        <v/>
      </c>
      <c r="Z286" s="25" t="str">
        <f aca="false">IF(N286="","",U286+V286+X286+W286+Y286)</f>
        <v/>
      </c>
      <c r="AA286" s="7" t="str">
        <f aca="false">IF(COUNT(C286:H286)=0,"",TRIM(IF(UPPER(K286)="N","Not a PF member, skipped. ","")&amp;IF(AND(UPPER(K286)&lt;&gt;"N",N(M286)&lt;=0),"PF wage is zero, skipped. ","")&amp;IF(AND(UPPER(K286)&lt;&gt;"N",N(M286)&gt;0,UPPER(L286)="N"),"Pension not applicable, whole 12% goes to EPF. ","")&amp;IF(AND(ISNUMBER(H286),ABS(SUM(C286:G286)-N(H286))&gt;1),"Heads in the file add up to "&amp;SUM(C286:G286)&amp;", Gross is "&amp;H286&amp;" (a pay head may be missing). ","")&amp;IF(AND(Settings!$B$32,N(H286)&gt;0,ISNUMBER(M286),N(M286)&lt;H286*0.5-0.5),"50% check: PF wage is "&amp;TEXT(M286/H286,"0%")&amp;" of gross. ","")&amp;IF(AND(N(M286)&gt;0,UPPER(K286)&lt;&gt;"N",N(N286)+N(O286)=0),"No days to count. ","")))</f>
        <v/>
      </c>
    </row>
    <row r="287" customFormat="false" ht="15" hidden="false" customHeight="false" outlineLevel="0" collapsed="false">
      <c r="A287" s="14"/>
      <c r="B287" s="14"/>
      <c r="C287" s="17"/>
      <c r="D287" s="17"/>
      <c r="E287" s="17"/>
      <c r="F287" s="17"/>
      <c r="G287" s="17"/>
      <c r="H287" s="17"/>
      <c r="I287" s="14"/>
      <c r="J287" s="14"/>
      <c r="K287" s="14"/>
      <c r="L287" s="14"/>
      <c r="M287" s="34" t="str">
        <f aca="false">IF(COUNT(C287:H287)=0,"",IFERROR(MAX(0,ROUND(IF(Settings!$B$33,IF(H287="",SUM(C287:G287),H287)-SUMPRODUCT(($C$4:$G$4="Y")*C287:G287),SUMPRODUCT(($C$4:$G$4="Y")*C287:G287)),0)),"Check inputs"))</f>
        <v/>
      </c>
      <c r="N287" s="35" t="str">
        <f aca="false">IF(AND(N($M287)&gt;0,UPPER($K287)&lt;&gt;"N"),IF(Settings!$B$28,MAX(0,MIN(Settings!$B$16,IF(I287="",Settings!$B$16,I287)))/Settings!$B$15,1),"")</f>
        <v/>
      </c>
      <c r="O287" s="35" t="str">
        <f aca="false">IF(AND(N($M287)&gt;0,UPPER($K287)&lt;&gt;"N"),IF(Settings!$B$28,MAX(0,MIN(Settings!$B$17,IF(J287="",Settings!$B$17,J287)))/Settings!$B$15,0),"")</f>
        <v/>
      </c>
      <c r="P287" s="34" t="str">
        <f aca="false">IF(N287="","",ROUND(IF(Settings!$B$27,MIN($M287,Settings!$B$29),$M287)*N287,0))</f>
        <v/>
      </c>
      <c r="Q287" s="34" t="str">
        <f aca="false">IF(N287="","",ROUND(IF(Settings!$B$27,MIN($M287,Settings!$B$30),$M287)*O287,0))</f>
        <v/>
      </c>
      <c r="R287" s="34" t="str">
        <f aca="false">IF(N287="","",P287+Q287)</f>
        <v/>
      </c>
      <c r="S287" s="34" t="str">
        <f aca="false">IF(N287="","",ROUND(MIN($M287,Settings!$B$29)*N287,0)+ROUND(MIN($M287,Settings!$B$30)*O287,0))</f>
        <v/>
      </c>
      <c r="T287" s="34" t="str">
        <f aca="false">IF(N287="","",IF(UPPER(L287)="N",0,S287))</f>
        <v/>
      </c>
      <c r="U287" s="25" t="str">
        <f aca="false">IF(N287="","",ROUND(R287*Settings!$B$18,0))</f>
        <v/>
      </c>
      <c r="V287" s="25" t="str">
        <f aca="false">IF(N287="","",ROUND(R287*Settings!$B$19,0)-X287)</f>
        <v/>
      </c>
      <c r="W287" s="25" t="str">
        <f aca="false">IF(N287="","",IF(Settings!$B$31,ROUND(R287*Settings!$B$22,0),0))</f>
        <v/>
      </c>
      <c r="X287" s="25" t="str">
        <f aca="false">IF(N287="","",MIN(ROUND(T287*Settings!$B$20,0),ROUND(R287*Settings!$B$19,0)))</f>
        <v/>
      </c>
      <c r="Y287" s="25" t="str">
        <f aca="false">IF(N287="","",IF(Settings!$B$31,ROUND(S287*Settings!$B$21,0),0))</f>
        <v/>
      </c>
      <c r="Z287" s="25" t="str">
        <f aca="false">IF(N287="","",U287+V287+X287+W287+Y287)</f>
        <v/>
      </c>
      <c r="AA287" s="7" t="str">
        <f aca="false">IF(COUNT(C287:H287)=0,"",TRIM(IF(UPPER(K287)="N","Not a PF member, skipped. ","")&amp;IF(AND(UPPER(K287)&lt;&gt;"N",N(M287)&lt;=0),"PF wage is zero, skipped. ","")&amp;IF(AND(UPPER(K287)&lt;&gt;"N",N(M287)&gt;0,UPPER(L287)="N"),"Pension not applicable, whole 12% goes to EPF. ","")&amp;IF(AND(ISNUMBER(H287),ABS(SUM(C287:G287)-N(H287))&gt;1),"Heads in the file add up to "&amp;SUM(C287:G287)&amp;", Gross is "&amp;H287&amp;" (a pay head may be missing). ","")&amp;IF(AND(Settings!$B$32,N(H287)&gt;0,ISNUMBER(M287),N(M287)&lt;H287*0.5-0.5),"50% check: PF wage is "&amp;TEXT(M287/H287,"0%")&amp;" of gross. ","")&amp;IF(AND(N(M287)&gt;0,UPPER(K287)&lt;&gt;"N",N(N287)+N(O287)=0),"No days to count. ","")))</f>
        <v/>
      </c>
    </row>
    <row r="288" customFormat="false" ht="15" hidden="false" customHeight="false" outlineLevel="0" collapsed="false">
      <c r="A288" s="14"/>
      <c r="B288" s="14"/>
      <c r="C288" s="17"/>
      <c r="D288" s="17"/>
      <c r="E288" s="17"/>
      <c r="F288" s="17"/>
      <c r="G288" s="17"/>
      <c r="H288" s="17"/>
      <c r="I288" s="14"/>
      <c r="J288" s="14"/>
      <c r="K288" s="14"/>
      <c r="L288" s="14"/>
      <c r="M288" s="34" t="str">
        <f aca="false">IF(COUNT(C288:H288)=0,"",IFERROR(MAX(0,ROUND(IF(Settings!$B$33,IF(H288="",SUM(C288:G288),H288)-SUMPRODUCT(($C$4:$G$4="Y")*C288:G288),SUMPRODUCT(($C$4:$G$4="Y")*C288:G288)),0)),"Check inputs"))</f>
        <v/>
      </c>
      <c r="N288" s="35" t="str">
        <f aca="false">IF(AND(N($M288)&gt;0,UPPER($K288)&lt;&gt;"N"),IF(Settings!$B$28,MAX(0,MIN(Settings!$B$16,IF(I288="",Settings!$B$16,I288)))/Settings!$B$15,1),"")</f>
        <v/>
      </c>
      <c r="O288" s="35" t="str">
        <f aca="false">IF(AND(N($M288)&gt;0,UPPER($K288)&lt;&gt;"N"),IF(Settings!$B$28,MAX(0,MIN(Settings!$B$17,IF(J288="",Settings!$B$17,J288)))/Settings!$B$15,0),"")</f>
        <v/>
      </c>
      <c r="P288" s="34" t="str">
        <f aca="false">IF(N288="","",ROUND(IF(Settings!$B$27,MIN($M288,Settings!$B$29),$M288)*N288,0))</f>
        <v/>
      </c>
      <c r="Q288" s="34" t="str">
        <f aca="false">IF(N288="","",ROUND(IF(Settings!$B$27,MIN($M288,Settings!$B$30),$M288)*O288,0))</f>
        <v/>
      </c>
      <c r="R288" s="34" t="str">
        <f aca="false">IF(N288="","",P288+Q288)</f>
        <v/>
      </c>
      <c r="S288" s="34" t="str">
        <f aca="false">IF(N288="","",ROUND(MIN($M288,Settings!$B$29)*N288,0)+ROUND(MIN($M288,Settings!$B$30)*O288,0))</f>
        <v/>
      </c>
      <c r="T288" s="34" t="str">
        <f aca="false">IF(N288="","",IF(UPPER(L288)="N",0,S288))</f>
        <v/>
      </c>
      <c r="U288" s="25" t="str">
        <f aca="false">IF(N288="","",ROUND(R288*Settings!$B$18,0))</f>
        <v/>
      </c>
      <c r="V288" s="25" t="str">
        <f aca="false">IF(N288="","",ROUND(R288*Settings!$B$19,0)-X288)</f>
        <v/>
      </c>
      <c r="W288" s="25" t="str">
        <f aca="false">IF(N288="","",IF(Settings!$B$31,ROUND(R288*Settings!$B$22,0),0))</f>
        <v/>
      </c>
      <c r="X288" s="25" t="str">
        <f aca="false">IF(N288="","",MIN(ROUND(T288*Settings!$B$20,0),ROUND(R288*Settings!$B$19,0)))</f>
        <v/>
      </c>
      <c r="Y288" s="25" t="str">
        <f aca="false">IF(N288="","",IF(Settings!$B$31,ROUND(S288*Settings!$B$21,0),0))</f>
        <v/>
      </c>
      <c r="Z288" s="25" t="str">
        <f aca="false">IF(N288="","",U288+V288+X288+W288+Y288)</f>
        <v/>
      </c>
      <c r="AA288" s="7" t="str">
        <f aca="false">IF(COUNT(C288:H288)=0,"",TRIM(IF(UPPER(K288)="N","Not a PF member, skipped. ","")&amp;IF(AND(UPPER(K288)&lt;&gt;"N",N(M288)&lt;=0),"PF wage is zero, skipped. ","")&amp;IF(AND(UPPER(K288)&lt;&gt;"N",N(M288)&gt;0,UPPER(L288)="N"),"Pension not applicable, whole 12% goes to EPF. ","")&amp;IF(AND(ISNUMBER(H288),ABS(SUM(C288:G288)-N(H288))&gt;1),"Heads in the file add up to "&amp;SUM(C288:G288)&amp;", Gross is "&amp;H288&amp;" (a pay head may be missing). ","")&amp;IF(AND(Settings!$B$32,N(H288)&gt;0,ISNUMBER(M288),N(M288)&lt;H288*0.5-0.5),"50% check: PF wage is "&amp;TEXT(M288/H288,"0%")&amp;" of gross. ","")&amp;IF(AND(N(M288)&gt;0,UPPER(K288)&lt;&gt;"N",N(N288)+N(O288)=0),"No days to count. ","")))</f>
        <v/>
      </c>
    </row>
    <row r="289" customFormat="false" ht="15" hidden="false" customHeight="false" outlineLevel="0" collapsed="false">
      <c r="A289" s="14"/>
      <c r="B289" s="14"/>
      <c r="C289" s="17"/>
      <c r="D289" s="17"/>
      <c r="E289" s="17"/>
      <c r="F289" s="17"/>
      <c r="G289" s="17"/>
      <c r="H289" s="17"/>
      <c r="I289" s="14"/>
      <c r="J289" s="14"/>
      <c r="K289" s="14"/>
      <c r="L289" s="14"/>
      <c r="M289" s="34" t="str">
        <f aca="false">IF(COUNT(C289:H289)=0,"",IFERROR(MAX(0,ROUND(IF(Settings!$B$33,IF(H289="",SUM(C289:G289),H289)-SUMPRODUCT(($C$4:$G$4="Y")*C289:G289),SUMPRODUCT(($C$4:$G$4="Y")*C289:G289)),0)),"Check inputs"))</f>
        <v/>
      </c>
      <c r="N289" s="35" t="str">
        <f aca="false">IF(AND(N($M289)&gt;0,UPPER($K289)&lt;&gt;"N"),IF(Settings!$B$28,MAX(0,MIN(Settings!$B$16,IF(I289="",Settings!$B$16,I289)))/Settings!$B$15,1),"")</f>
        <v/>
      </c>
      <c r="O289" s="35" t="str">
        <f aca="false">IF(AND(N($M289)&gt;0,UPPER($K289)&lt;&gt;"N"),IF(Settings!$B$28,MAX(0,MIN(Settings!$B$17,IF(J289="",Settings!$B$17,J289)))/Settings!$B$15,0),"")</f>
        <v/>
      </c>
      <c r="P289" s="34" t="str">
        <f aca="false">IF(N289="","",ROUND(IF(Settings!$B$27,MIN($M289,Settings!$B$29),$M289)*N289,0))</f>
        <v/>
      </c>
      <c r="Q289" s="34" t="str">
        <f aca="false">IF(N289="","",ROUND(IF(Settings!$B$27,MIN($M289,Settings!$B$30),$M289)*O289,0))</f>
        <v/>
      </c>
      <c r="R289" s="34" t="str">
        <f aca="false">IF(N289="","",P289+Q289)</f>
        <v/>
      </c>
      <c r="S289" s="34" t="str">
        <f aca="false">IF(N289="","",ROUND(MIN($M289,Settings!$B$29)*N289,0)+ROUND(MIN($M289,Settings!$B$30)*O289,0))</f>
        <v/>
      </c>
      <c r="T289" s="34" t="str">
        <f aca="false">IF(N289="","",IF(UPPER(L289)="N",0,S289))</f>
        <v/>
      </c>
      <c r="U289" s="25" t="str">
        <f aca="false">IF(N289="","",ROUND(R289*Settings!$B$18,0))</f>
        <v/>
      </c>
      <c r="V289" s="25" t="str">
        <f aca="false">IF(N289="","",ROUND(R289*Settings!$B$19,0)-X289)</f>
        <v/>
      </c>
      <c r="W289" s="25" t="str">
        <f aca="false">IF(N289="","",IF(Settings!$B$31,ROUND(R289*Settings!$B$22,0),0))</f>
        <v/>
      </c>
      <c r="X289" s="25" t="str">
        <f aca="false">IF(N289="","",MIN(ROUND(T289*Settings!$B$20,0),ROUND(R289*Settings!$B$19,0)))</f>
        <v/>
      </c>
      <c r="Y289" s="25" t="str">
        <f aca="false">IF(N289="","",IF(Settings!$B$31,ROUND(S289*Settings!$B$21,0),0))</f>
        <v/>
      </c>
      <c r="Z289" s="25" t="str">
        <f aca="false">IF(N289="","",U289+V289+X289+W289+Y289)</f>
        <v/>
      </c>
      <c r="AA289" s="7" t="str">
        <f aca="false">IF(COUNT(C289:H289)=0,"",TRIM(IF(UPPER(K289)="N","Not a PF member, skipped. ","")&amp;IF(AND(UPPER(K289)&lt;&gt;"N",N(M289)&lt;=0),"PF wage is zero, skipped. ","")&amp;IF(AND(UPPER(K289)&lt;&gt;"N",N(M289)&gt;0,UPPER(L289)="N"),"Pension not applicable, whole 12% goes to EPF. ","")&amp;IF(AND(ISNUMBER(H289),ABS(SUM(C289:G289)-N(H289))&gt;1),"Heads in the file add up to "&amp;SUM(C289:G289)&amp;", Gross is "&amp;H289&amp;" (a pay head may be missing). ","")&amp;IF(AND(Settings!$B$32,N(H289)&gt;0,ISNUMBER(M289),N(M289)&lt;H289*0.5-0.5),"50% check: PF wage is "&amp;TEXT(M289/H289,"0%")&amp;" of gross. ","")&amp;IF(AND(N(M289)&gt;0,UPPER(K289)&lt;&gt;"N",N(N289)+N(O289)=0),"No days to count. ","")))</f>
        <v/>
      </c>
    </row>
    <row r="290" customFormat="false" ht="15" hidden="false" customHeight="false" outlineLevel="0" collapsed="false">
      <c r="A290" s="14"/>
      <c r="B290" s="14"/>
      <c r="C290" s="17"/>
      <c r="D290" s="17"/>
      <c r="E290" s="17"/>
      <c r="F290" s="17"/>
      <c r="G290" s="17"/>
      <c r="H290" s="17"/>
      <c r="I290" s="14"/>
      <c r="J290" s="14"/>
      <c r="K290" s="14"/>
      <c r="L290" s="14"/>
      <c r="M290" s="34" t="str">
        <f aca="false">IF(COUNT(C290:H290)=0,"",IFERROR(MAX(0,ROUND(IF(Settings!$B$33,IF(H290="",SUM(C290:G290),H290)-SUMPRODUCT(($C$4:$G$4="Y")*C290:G290),SUMPRODUCT(($C$4:$G$4="Y")*C290:G290)),0)),"Check inputs"))</f>
        <v/>
      </c>
      <c r="N290" s="35" t="str">
        <f aca="false">IF(AND(N($M290)&gt;0,UPPER($K290)&lt;&gt;"N"),IF(Settings!$B$28,MAX(0,MIN(Settings!$B$16,IF(I290="",Settings!$B$16,I290)))/Settings!$B$15,1),"")</f>
        <v/>
      </c>
      <c r="O290" s="35" t="str">
        <f aca="false">IF(AND(N($M290)&gt;0,UPPER($K290)&lt;&gt;"N"),IF(Settings!$B$28,MAX(0,MIN(Settings!$B$17,IF(J290="",Settings!$B$17,J290)))/Settings!$B$15,0),"")</f>
        <v/>
      </c>
      <c r="P290" s="34" t="str">
        <f aca="false">IF(N290="","",ROUND(IF(Settings!$B$27,MIN($M290,Settings!$B$29),$M290)*N290,0))</f>
        <v/>
      </c>
      <c r="Q290" s="34" t="str">
        <f aca="false">IF(N290="","",ROUND(IF(Settings!$B$27,MIN($M290,Settings!$B$30),$M290)*O290,0))</f>
        <v/>
      </c>
      <c r="R290" s="34" t="str">
        <f aca="false">IF(N290="","",P290+Q290)</f>
        <v/>
      </c>
      <c r="S290" s="34" t="str">
        <f aca="false">IF(N290="","",ROUND(MIN($M290,Settings!$B$29)*N290,0)+ROUND(MIN($M290,Settings!$B$30)*O290,0))</f>
        <v/>
      </c>
      <c r="T290" s="34" t="str">
        <f aca="false">IF(N290="","",IF(UPPER(L290)="N",0,S290))</f>
        <v/>
      </c>
      <c r="U290" s="25" t="str">
        <f aca="false">IF(N290="","",ROUND(R290*Settings!$B$18,0))</f>
        <v/>
      </c>
      <c r="V290" s="25" t="str">
        <f aca="false">IF(N290="","",ROUND(R290*Settings!$B$19,0)-X290)</f>
        <v/>
      </c>
      <c r="W290" s="25" t="str">
        <f aca="false">IF(N290="","",IF(Settings!$B$31,ROUND(R290*Settings!$B$22,0),0))</f>
        <v/>
      </c>
      <c r="X290" s="25" t="str">
        <f aca="false">IF(N290="","",MIN(ROUND(T290*Settings!$B$20,0),ROUND(R290*Settings!$B$19,0)))</f>
        <v/>
      </c>
      <c r="Y290" s="25" t="str">
        <f aca="false">IF(N290="","",IF(Settings!$B$31,ROUND(S290*Settings!$B$21,0),0))</f>
        <v/>
      </c>
      <c r="Z290" s="25" t="str">
        <f aca="false">IF(N290="","",U290+V290+X290+W290+Y290)</f>
        <v/>
      </c>
      <c r="AA290" s="7" t="str">
        <f aca="false">IF(COUNT(C290:H290)=0,"",TRIM(IF(UPPER(K290)="N","Not a PF member, skipped. ","")&amp;IF(AND(UPPER(K290)&lt;&gt;"N",N(M290)&lt;=0),"PF wage is zero, skipped. ","")&amp;IF(AND(UPPER(K290)&lt;&gt;"N",N(M290)&gt;0,UPPER(L290)="N"),"Pension not applicable, whole 12% goes to EPF. ","")&amp;IF(AND(ISNUMBER(H290),ABS(SUM(C290:G290)-N(H290))&gt;1),"Heads in the file add up to "&amp;SUM(C290:G290)&amp;", Gross is "&amp;H290&amp;" (a pay head may be missing). ","")&amp;IF(AND(Settings!$B$32,N(H290)&gt;0,ISNUMBER(M290),N(M290)&lt;H290*0.5-0.5),"50% check: PF wage is "&amp;TEXT(M290/H290,"0%")&amp;" of gross. ","")&amp;IF(AND(N(M290)&gt;0,UPPER(K290)&lt;&gt;"N",N(N290)+N(O290)=0),"No days to count. ","")))</f>
        <v/>
      </c>
    </row>
    <row r="291" customFormat="false" ht="15" hidden="false" customHeight="false" outlineLevel="0" collapsed="false">
      <c r="A291" s="14"/>
      <c r="B291" s="14"/>
      <c r="C291" s="17"/>
      <c r="D291" s="17"/>
      <c r="E291" s="17"/>
      <c r="F291" s="17"/>
      <c r="G291" s="17"/>
      <c r="H291" s="17"/>
      <c r="I291" s="14"/>
      <c r="J291" s="14"/>
      <c r="K291" s="14"/>
      <c r="L291" s="14"/>
      <c r="M291" s="34" t="str">
        <f aca="false">IF(COUNT(C291:H291)=0,"",IFERROR(MAX(0,ROUND(IF(Settings!$B$33,IF(H291="",SUM(C291:G291),H291)-SUMPRODUCT(($C$4:$G$4="Y")*C291:G291),SUMPRODUCT(($C$4:$G$4="Y")*C291:G291)),0)),"Check inputs"))</f>
        <v/>
      </c>
      <c r="N291" s="35" t="str">
        <f aca="false">IF(AND(N($M291)&gt;0,UPPER($K291)&lt;&gt;"N"),IF(Settings!$B$28,MAX(0,MIN(Settings!$B$16,IF(I291="",Settings!$B$16,I291)))/Settings!$B$15,1),"")</f>
        <v/>
      </c>
      <c r="O291" s="35" t="str">
        <f aca="false">IF(AND(N($M291)&gt;0,UPPER($K291)&lt;&gt;"N"),IF(Settings!$B$28,MAX(0,MIN(Settings!$B$17,IF(J291="",Settings!$B$17,J291)))/Settings!$B$15,0),"")</f>
        <v/>
      </c>
      <c r="P291" s="34" t="str">
        <f aca="false">IF(N291="","",ROUND(IF(Settings!$B$27,MIN($M291,Settings!$B$29),$M291)*N291,0))</f>
        <v/>
      </c>
      <c r="Q291" s="34" t="str">
        <f aca="false">IF(N291="","",ROUND(IF(Settings!$B$27,MIN($M291,Settings!$B$30),$M291)*O291,0))</f>
        <v/>
      </c>
      <c r="R291" s="34" t="str">
        <f aca="false">IF(N291="","",P291+Q291)</f>
        <v/>
      </c>
      <c r="S291" s="34" t="str">
        <f aca="false">IF(N291="","",ROUND(MIN($M291,Settings!$B$29)*N291,0)+ROUND(MIN($M291,Settings!$B$30)*O291,0))</f>
        <v/>
      </c>
      <c r="T291" s="34" t="str">
        <f aca="false">IF(N291="","",IF(UPPER(L291)="N",0,S291))</f>
        <v/>
      </c>
      <c r="U291" s="25" t="str">
        <f aca="false">IF(N291="","",ROUND(R291*Settings!$B$18,0))</f>
        <v/>
      </c>
      <c r="V291" s="25" t="str">
        <f aca="false">IF(N291="","",ROUND(R291*Settings!$B$19,0)-X291)</f>
        <v/>
      </c>
      <c r="W291" s="25" t="str">
        <f aca="false">IF(N291="","",IF(Settings!$B$31,ROUND(R291*Settings!$B$22,0),0))</f>
        <v/>
      </c>
      <c r="X291" s="25" t="str">
        <f aca="false">IF(N291="","",MIN(ROUND(T291*Settings!$B$20,0),ROUND(R291*Settings!$B$19,0)))</f>
        <v/>
      </c>
      <c r="Y291" s="25" t="str">
        <f aca="false">IF(N291="","",IF(Settings!$B$31,ROUND(S291*Settings!$B$21,0),0))</f>
        <v/>
      </c>
      <c r="Z291" s="25" t="str">
        <f aca="false">IF(N291="","",U291+V291+X291+W291+Y291)</f>
        <v/>
      </c>
      <c r="AA291" s="7" t="str">
        <f aca="false">IF(COUNT(C291:H291)=0,"",TRIM(IF(UPPER(K291)="N","Not a PF member, skipped. ","")&amp;IF(AND(UPPER(K291)&lt;&gt;"N",N(M291)&lt;=0),"PF wage is zero, skipped. ","")&amp;IF(AND(UPPER(K291)&lt;&gt;"N",N(M291)&gt;0,UPPER(L291)="N"),"Pension not applicable, whole 12% goes to EPF. ","")&amp;IF(AND(ISNUMBER(H291),ABS(SUM(C291:G291)-N(H291))&gt;1),"Heads in the file add up to "&amp;SUM(C291:G291)&amp;", Gross is "&amp;H291&amp;" (a pay head may be missing). ","")&amp;IF(AND(Settings!$B$32,N(H291)&gt;0,ISNUMBER(M291),N(M291)&lt;H291*0.5-0.5),"50% check: PF wage is "&amp;TEXT(M291/H291,"0%")&amp;" of gross. ","")&amp;IF(AND(N(M291)&gt;0,UPPER(K291)&lt;&gt;"N",N(N291)+N(O291)=0),"No days to count. ","")))</f>
        <v/>
      </c>
    </row>
    <row r="292" customFormat="false" ht="15" hidden="false" customHeight="false" outlineLevel="0" collapsed="false">
      <c r="A292" s="14"/>
      <c r="B292" s="14"/>
      <c r="C292" s="17"/>
      <c r="D292" s="17"/>
      <c r="E292" s="17"/>
      <c r="F292" s="17"/>
      <c r="G292" s="17"/>
      <c r="H292" s="17"/>
      <c r="I292" s="14"/>
      <c r="J292" s="14"/>
      <c r="K292" s="14"/>
      <c r="L292" s="14"/>
      <c r="M292" s="34" t="str">
        <f aca="false">IF(COUNT(C292:H292)=0,"",IFERROR(MAX(0,ROUND(IF(Settings!$B$33,IF(H292="",SUM(C292:G292),H292)-SUMPRODUCT(($C$4:$G$4="Y")*C292:G292),SUMPRODUCT(($C$4:$G$4="Y")*C292:G292)),0)),"Check inputs"))</f>
        <v/>
      </c>
      <c r="N292" s="35" t="str">
        <f aca="false">IF(AND(N($M292)&gt;0,UPPER($K292)&lt;&gt;"N"),IF(Settings!$B$28,MAX(0,MIN(Settings!$B$16,IF(I292="",Settings!$B$16,I292)))/Settings!$B$15,1),"")</f>
        <v/>
      </c>
      <c r="O292" s="35" t="str">
        <f aca="false">IF(AND(N($M292)&gt;0,UPPER($K292)&lt;&gt;"N"),IF(Settings!$B$28,MAX(0,MIN(Settings!$B$17,IF(J292="",Settings!$B$17,J292)))/Settings!$B$15,0),"")</f>
        <v/>
      </c>
      <c r="P292" s="34" t="str">
        <f aca="false">IF(N292="","",ROUND(IF(Settings!$B$27,MIN($M292,Settings!$B$29),$M292)*N292,0))</f>
        <v/>
      </c>
      <c r="Q292" s="34" t="str">
        <f aca="false">IF(N292="","",ROUND(IF(Settings!$B$27,MIN($M292,Settings!$B$30),$M292)*O292,0))</f>
        <v/>
      </c>
      <c r="R292" s="34" t="str">
        <f aca="false">IF(N292="","",P292+Q292)</f>
        <v/>
      </c>
      <c r="S292" s="34" t="str">
        <f aca="false">IF(N292="","",ROUND(MIN($M292,Settings!$B$29)*N292,0)+ROUND(MIN($M292,Settings!$B$30)*O292,0))</f>
        <v/>
      </c>
      <c r="T292" s="34" t="str">
        <f aca="false">IF(N292="","",IF(UPPER(L292)="N",0,S292))</f>
        <v/>
      </c>
      <c r="U292" s="25" t="str">
        <f aca="false">IF(N292="","",ROUND(R292*Settings!$B$18,0))</f>
        <v/>
      </c>
      <c r="V292" s="25" t="str">
        <f aca="false">IF(N292="","",ROUND(R292*Settings!$B$19,0)-X292)</f>
        <v/>
      </c>
      <c r="W292" s="25" t="str">
        <f aca="false">IF(N292="","",IF(Settings!$B$31,ROUND(R292*Settings!$B$22,0),0))</f>
        <v/>
      </c>
      <c r="X292" s="25" t="str">
        <f aca="false">IF(N292="","",MIN(ROUND(T292*Settings!$B$20,0),ROUND(R292*Settings!$B$19,0)))</f>
        <v/>
      </c>
      <c r="Y292" s="25" t="str">
        <f aca="false">IF(N292="","",IF(Settings!$B$31,ROUND(S292*Settings!$B$21,0),0))</f>
        <v/>
      </c>
      <c r="Z292" s="25" t="str">
        <f aca="false">IF(N292="","",U292+V292+X292+W292+Y292)</f>
        <v/>
      </c>
      <c r="AA292" s="7" t="str">
        <f aca="false">IF(COUNT(C292:H292)=0,"",TRIM(IF(UPPER(K292)="N","Not a PF member, skipped. ","")&amp;IF(AND(UPPER(K292)&lt;&gt;"N",N(M292)&lt;=0),"PF wage is zero, skipped. ","")&amp;IF(AND(UPPER(K292)&lt;&gt;"N",N(M292)&gt;0,UPPER(L292)="N"),"Pension not applicable, whole 12% goes to EPF. ","")&amp;IF(AND(ISNUMBER(H292),ABS(SUM(C292:G292)-N(H292))&gt;1),"Heads in the file add up to "&amp;SUM(C292:G292)&amp;", Gross is "&amp;H292&amp;" (a pay head may be missing). ","")&amp;IF(AND(Settings!$B$32,N(H292)&gt;0,ISNUMBER(M292),N(M292)&lt;H292*0.5-0.5),"50% check: PF wage is "&amp;TEXT(M292/H292,"0%")&amp;" of gross. ","")&amp;IF(AND(N(M292)&gt;0,UPPER(K292)&lt;&gt;"N",N(N292)+N(O292)=0),"No days to count. ","")))</f>
        <v/>
      </c>
    </row>
    <row r="293" customFormat="false" ht="15" hidden="false" customHeight="false" outlineLevel="0" collapsed="false">
      <c r="A293" s="14"/>
      <c r="B293" s="14"/>
      <c r="C293" s="17"/>
      <c r="D293" s="17"/>
      <c r="E293" s="17"/>
      <c r="F293" s="17"/>
      <c r="G293" s="17"/>
      <c r="H293" s="17"/>
      <c r="I293" s="14"/>
      <c r="J293" s="14"/>
      <c r="K293" s="14"/>
      <c r="L293" s="14"/>
      <c r="M293" s="34" t="str">
        <f aca="false">IF(COUNT(C293:H293)=0,"",IFERROR(MAX(0,ROUND(IF(Settings!$B$33,IF(H293="",SUM(C293:G293),H293)-SUMPRODUCT(($C$4:$G$4="Y")*C293:G293),SUMPRODUCT(($C$4:$G$4="Y")*C293:G293)),0)),"Check inputs"))</f>
        <v/>
      </c>
      <c r="N293" s="35" t="str">
        <f aca="false">IF(AND(N($M293)&gt;0,UPPER($K293)&lt;&gt;"N"),IF(Settings!$B$28,MAX(0,MIN(Settings!$B$16,IF(I293="",Settings!$B$16,I293)))/Settings!$B$15,1),"")</f>
        <v/>
      </c>
      <c r="O293" s="35" t="str">
        <f aca="false">IF(AND(N($M293)&gt;0,UPPER($K293)&lt;&gt;"N"),IF(Settings!$B$28,MAX(0,MIN(Settings!$B$17,IF(J293="",Settings!$B$17,J293)))/Settings!$B$15,0),"")</f>
        <v/>
      </c>
      <c r="P293" s="34" t="str">
        <f aca="false">IF(N293="","",ROUND(IF(Settings!$B$27,MIN($M293,Settings!$B$29),$M293)*N293,0))</f>
        <v/>
      </c>
      <c r="Q293" s="34" t="str">
        <f aca="false">IF(N293="","",ROUND(IF(Settings!$B$27,MIN($M293,Settings!$B$30),$M293)*O293,0))</f>
        <v/>
      </c>
      <c r="R293" s="34" t="str">
        <f aca="false">IF(N293="","",P293+Q293)</f>
        <v/>
      </c>
      <c r="S293" s="34" t="str">
        <f aca="false">IF(N293="","",ROUND(MIN($M293,Settings!$B$29)*N293,0)+ROUND(MIN($M293,Settings!$B$30)*O293,0))</f>
        <v/>
      </c>
      <c r="T293" s="34" t="str">
        <f aca="false">IF(N293="","",IF(UPPER(L293)="N",0,S293))</f>
        <v/>
      </c>
      <c r="U293" s="25" t="str">
        <f aca="false">IF(N293="","",ROUND(R293*Settings!$B$18,0))</f>
        <v/>
      </c>
      <c r="V293" s="25" t="str">
        <f aca="false">IF(N293="","",ROUND(R293*Settings!$B$19,0)-X293)</f>
        <v/>
      </c>
      <c r="W293" s="25" t="str">
        <f aca="false">IF(N293="","",IF(Settings!$B$31,ROUND(R293*Settings!$B$22,0),0))</f>
        <v/>
      </c>
      <c r="X293" s="25" t="str">
        <f aca="false">IF(N293="","",MIN(ROUND(T293*Settings!$B$20,0),ROUND(R293*Settings!$B$19,0)))</f>
        <v/>
      </c>
      <c r="Y293" s="25" t="str">
        <f aca="false">IF(N293="","",IF(Settings!$B$31,ROUND(S293*Settings!$B$21,0),0))</f>
        <v/>
      </c>
      <c r="Z293" s="25" t="str">
        <f aca="false">IF(N293="","",U293+V293+X293+W293+Y293)</f>
        <v/>
      </c>
      <c r="AA293" s="7" t="str">
        <f aca="false">IF(COUNT(C293:H293)=0,"",TRIM(IF(UPPER(K293)="N","Not a PF member, skipped. ","")&amp;IF(AND(UPPER(K293)&lt;&gt;"N",N(M293)&lt;=0),"PF wage is zero, skipped. ","")&amp;IF(AND(UPPER(K293)&lt;&gt;"N",N(M293)&gt;0,UPPER(L293)="N"),"Pension not applicable, whole 12% goes to EPF. ","")&amp;IF(AND(ISNUMBER(H293),ABS(SUM(C293:G293)-N(H293))&gt;1),"Heads in the file add up to "&amp;SUM(C293:G293)&amp;", Gross is "&amp;H293&amp;" (a pay head may be missing). ","")&amp;IF(AND(Settings!$B$32,N(H293)&gt;0,ISNUMBER(M293),N(M293)&lt;H293*0.5-0.5),"50% check: PF wage is "&amp;TEXT(M293/H293,"0%")&amp;" of gross. ","")&amp;IF(AND(N(M293)&gt;0,UPPER(K293)&lt;&gt;"N",N(N293)+N(O293)=0),"No days to count. ","")))</f>
        <v/>
      </c>
    </row>
    <row r="294" customFormat="false" ht="15" hidden="false" customHeight="false" outlineLevel="0" collapsed="false">
      <c r="A294" s="14"/>
      <c r="B294" s="14"/>
      <c r="C294" s="17"/>
      <c r="D294" s="17"/>
      <c r="E294" s="17"/>
      <c r="F294" s="17"/>
      <c r="G294" s="17"/>
      <c r="H294" s="17"/>
      <c r="I294" s="14"/>
      <c r="J294" s="14"/>
      <c r="K294" s="14"/>
      <c r="L294" s="14"/>
      <c r="M294" s="34" t="str">
        <f aca="false">IF(COUNT(C294:H294)=0,"",IFERROR(MAX(0,ROUND(IF(Settings!$B$33,IF(H294="",SUM(C294:G294),H294)-SUMPRODUCT(($C$4:$G$4="Y")*C294:G294),SUMPRODUCT(($C$4:$G$4="Y")*C294:G294)),0)),"Check inputs"))</f>
        <v/>
      </c>
      <c r="N294" s="35" t="str">
        <f aca="false">IF(AND(N($M294)&gt;0,UPPER($K294)&lt;&gt;"N"),IF(Settings!$B$28,MAX(0,MIN(Settings!$B$16,IF(I294="",Settings!$B$16,I294)))/Settings!$B$15,1),"")</f>
        <v/>
      </c>
      <c r="O294" s="35" t="str">
        <f aca="false">IF(AND(N($M294)&gt;0,UPPER($K294)&lt;&gt;"N"),IF(Settings!$B$28,MAX(0,MIN(Settings!$B$17,IF(J294="",Settings!$B$17,J294)))/Settings!$B$15,0),"")</f>
        <v/>
      </c>
      <c r="P294" s="34" t="str">
        <f aca="false">IF(N294="","",ROUND(IF(Settings!$B$27,MIN($M294,Settings!$B$29),$M294)*N294,0))</f>
        <v/>
      </c>
      <c r="Q294" s="34" t="str">
        <f aca="false">IF(N294="","",ROUND(IF(Settings!$B$27,MIN($M294,Settings!$B$30),$M294)*O294,0))</f>
        <v/>
      </c>
      <c r="R294" s="34" t="str">
        <f aca="false">IF(N294="","",P294+Q294)</f>
        <v/>
      </c>
      <c r="S294" s="34" t="str">
        <f aca="false">IF(N294="","",ROUND(MIN($M294,Settings!$B$29)*N294,0)+ROUND(MIN($M294,Settings!$B$30)*O294,0))</f>
        <v/>
      </c>
      <c r="T294" s="34" t="str">
        <f aca="false">IF(N294="","",IF(UPPER(L294)="N",0,S294))</f>
        <v/>
      </c>
      <c r="U294" s="25" t="str">
        <f aca="false">IF(N294="","",ROUND(R294*Settings!$B$18,0))</f>
        <v/>
      </c>
      <c r="V294" s="25" t="str">
        <f aca="false">IF(N294="","",ROUND(R294*Settings!$B$19,0)-X294)</f>
        <v/>
      </c>
      <c r="W294" s="25" t="str">
        <f aca="false">IF(N294="","",IF(Settings!$B$31,ROUND(R294*Settings!$B$22,0),0))</f>
        <v/>
      </c>
      <c r="X294" s="25" t="str">
        <f aca="false">IF(N294="","",MIN(ROUND(T294*Settings!$B$20,0),ROUND(R294*Settings!$B$19,0)))</f>
        <v/>
      </c>
      <c r="Y294" s="25" t="str">
        <f aca="false">IF(N294="","",IF(Settings!$B$31,ROUND(S294*Settings!$B$21,0),0))</f>
        <v/>
      </c>
      <c r="Z294" s="25" t="str">
        <f aca="false">IF(N294="","",U294+V294+X294+W294+Y294)</f>
        <v/>
      </c>
      <c r="AA294" s="7" t="str">
        <f aca="false">IF(COUNT(C294:H294)=0,"",TRIM(IF(UPPER(K294)="N","Not a PF member, skipped. ","")&amp;IF(AND(UPPER(K294)&lt;&gt;"N",N(M294)&lt;=0),"PF wage is zero, skipped. ","")&amp;IF(AND(UPPER(K294)&lt;&gt;"N",N(M294)&gt;0,UPPER(L294)="N"),"Pension not applicable, whole 12% goes to EPF. ","")&amp;IF(AND(ISNUMBER(H294),ABS(SUM(C294:G294)-N(H294))&gt;1),"Heads in the file add up to "&amp;SUM(C294:G294)&amp;", Gross is "&amp;H294&amp;" (a pay head may be missing). ","")&amp;IF(AND(Settings!$B$32,N(H294)&gt;0,ISNUMBER(M294),N(M294)&lt;H294*0.5-0.5),"50% check: PF wage is "&amp;TEXT(M294/H294,"0%")&amp;" of gross. ","")&amp;IF(AND(N(M294)&gt;0,UPPER(K294)&lt;&gt;"N",N(N294)+N(O294)=0),"No days to count. ","")))</f>
        <v/>
      </c>
    </row>
    <row r="295" customFormat="false" ht="15" hidden="false" customHeight="false" outlineLevel="0" collapsed="false">
      <c r="A295" s="14"/>
      <c r="B295" s="14"/>
      <c r="C295" s="17"/>
      <c r="D295" s="17"/>
      <c r="E295" s="17"/>
      <c r="F295" s="17"/>
      <c r="G295" s="17"/>
      <c r="H295" s="17"/>
      <c r="I295" s="14"/>
      <c r="J295" s="14"/>
      <c r="K295" s="14"/>
      <c r="L295" s="14"/>
      <c r="M295" s="34" t="str">
        <f aca="false">IF(COUNT(C295:H295)=0,"",IFERROR(MAX(0,ROUND(IF(Settings!$B$33,IF(H295="",SUM(C295:G295),H295)-SUMPRODUCT(($C$4:$G$4="Y")*C295:G295),SUMPRODUCT(($C$4:$G$4="Y")*C295:G295)),0)),"Check inputs"))</f>
        <v/>
      </c>
      <c r="N295" s="35" t="str">
        <f aca="false">IF(AND(N($M295)&gt;0,UPPER($K295)&lt;&gt;"N"),IF(Settings!$B$28,MAX(0,MIN(Settings!$B$16,IF(I295="",Settings!$B$16,I295)))/Settings!$B$15,1),"")</f>
        <v/>
      </c>
      <c r="O295" s="35" t="str">
        <f aca="false">IF(AND(N($M295)&gt;0,UPPER($K295)&lt;&gt;"N"),IF(Settings!$B$28,MAX(0,MIN(Settings!$B$17,IF(J295="",Settings!$B$17,J295)))/Settings!$B$15,0),"")</f>
        <v/>
      </c>
      <c r="P295" s="34" t="str">
        <f aca="false">IF(N295="","",ROUND(IF(Settings!$B$27,MIN($M295,Settings!$B$29),$M295)*N295,0))</f>
        <v/>
      </c>
      <c r="Q295" s="34" t="str">
        <f aca="false">IF(N295="","",ROUND(IF(Settings!$B$27,MIN($M295,Settings!$B$30),$M295)*O295,0))</f>
        <v/>
      </c>
      <c r="R295" s="34" t="str">
        <f aca="false">IF(N295="","",P295+Q295)</f>
        <v/>
      </c>
      <c r="S295" s="34" t="str">
        <f aca="false">IF(N295="","",ROUND(MIN($M295,Settings!$B$29)*N295,0)+ROUND(MIN($M295,Settings!$B$30)*O295,0))</f>
        <v/>
      </c>
      <c r="T295" s="34" t="str">
        <f aca="false">IF(N295="","",IF(UPPER(L295)="N",0,S295))</f>
        <v/>
      </c>
      <c r="U295" s="25" t="str">
        <f aca="false">IF(N295="","",ROUND(R295*Settings!$B$18,0))</f>
        <v/>
      </c>
      <c r="V295" s="25" t="str">
        <f aca="false">IF(N295="","",ROUND(R295*Settings!$B$19,0)-X295)</f>
        <v/>
      </c>
      <c r="W295" s="25" t="str">
        <f aca="false">IF(N295="","",IF(Settings!$B$31,ROUND(R295*Settings!$B$22,0),0))</f>
        <v/>
      </c>
      <c r="X295" s="25" t="str">
        <f aca="false">IF(N295="","",MIN(ROUND(T295*Settings!$B$20,0),ROUND(R295*Settings!$B$19,0)))</f>
        <v/>
      </c>
      <c r="Y295" s="25" t="str">
        <f aca="false">IF(N295="","",IF(Settings!$B$31,ROUND(S295*Settings!$B$21,0),0))</f>
        <v/>
      </c>
      <c r="Z295" s="25" t="str">
        <f aca="false">IF(N295="","",U295+V295+X295+W295+Y295)</f>
        <v/>
      </c>
      <c r="AA295" s="7" t="str">
        <f aca="false">IF(COUNT(C295:H295)=0,"",TRIM(IF(UPPER(K295)="N","Not a PF member, skipped. ","")&amp;IF(AND(UPPER(K295)&lt;&gt;"N",N(M295)&lt;=0),"PF wage is zero, skipped. ","")&amp;IF(AND(UPPER(K295)&lt;&gt;"N",N(M295)&gt;0,UPPER(L295)="N"),"Pension not applicable, whole 12% goes to EPF. ","")&amp;IF(AND(ISNUMBER(H295),ABS(SUM(C295:G295)-N(H295))&gt;1),"Heads in the file add up to "&amp;SUM(C295:G295)&amp;", Gross is "&amp;H295&amp;" (a pay head may be missing). ","")&amp;IF(AND(Settings!$B$32,N(H295)&gt;0,ISNUMBER(M295),N(M295)&lt;H295*0.5-0.5),"50% check: PF wage is "&amp;TEXT(M295/H295,"0%")&amp;" of gross. ","")&amp;IF(AND(N(M295)&gt;0,UPPER(K295)&lt;&gt;"N",N(N295)+N(O295)=0),"No days to count. ","")))</f>
        <v/>
      </c>
    </row>
    <row r="296" customFormat="false" ht="15" hidden="false" customHeight="false" outlineLevel="0" collapsed="false">
      <c r="A296" s="14"/>
      <c r="B296" s="14"/>
      <c r="C296" s="17"/>
      <c r="D296" s="17"/>
      <c r="E296" s="17"/>
      <c r="F296" s="17"/>
      <c r="G296" s="17"/>
      <c r="H296" s="17"/>
      <c r="I296" s="14"/>
      <c r="J296" s="14"/>
      <c r="K296" s="14"/>
      <c r="L296" s="14"/>
      <c r="M296" s="34" t="str">
        <f aca="false">IF(COUNT(C296:H296)=0,"",IFERROR(MAX(0,ROUND(IF(Settings!$B$33,IF(H296="",SUM(C296:G296),H296)-SUMPRODUCT(($C$4:$G$4="Y")*C296:G296),SUMPRODUCT(($C$4:$G$4="Y")*C296:G296)),0)),"Check inputs"))</f>
        <v/>
      </c>
      <c r="N296" s="35" t="str">
        <f aca="false">IF(AND(N($M296)&gt;0,UPPER($K296)&lt;&gt;"N"),IF(Settings!$B$28,MAX(0,MIN(Settings!$B$16,IF(I296="",Settings!$B$16,I296)))/Settings!$B$15,1),"")</f>
        <v/>
      </c>
      <c r="O296" s="35" t="str">
        <f aca="false">IF(AND(N($M296)&gt;0,UPPER($K296)&lt;&gt;"N"),IF(Settings!$B$28,MAX(0,MIN(Settings!$B$17,IF(J296="",Settings!$B$17,J296)))/Settings!$B$15,0),"")</f>
        <v/>
      </c>
      <c r="P296" s="34" t="str">
        <f aca="false">IF(N296="","",ROUND(IF(Settings!$B$27,MIN($M296,Settings!$B$29),$M296)*N296,0))</f>
        <v/>
      </c>
      <c r="Q296" s="34" t="str">
        <f aca="false">IF(N296="","",ROUND(IF(Settings!$B$27,MIN($M296,Settings!$B$30),$M296)*O296,0))</f>
        <v/>
      </c>
      <c r="R296" s="34" t="str">
        <f aca="false">IF(N296="","",P296+Q296)</f>
        <v/>
      </c>
      <c r="S296" s="34" t="str">
        <f aca="false">IF(N296="","",ROUND(MIN($M296,Settings!$B$29)*N296,0)+ROUND(MIN($M296,Settings!$B$30)*O296,0))</f>
        <v/>
      </c>
      <c r="T296" s="34" t="str">
        <f aca="false">IF(N296="","",IF(UPPER(L296)="N",0,S296))</f>
        <v/>
      </c>
      <c r="U296" s="25" t="str">
        <f aca="false">IF(N296="","",ROUND(R296*Settings!$B$18,0))</f>
        <v/>
      </c>
      <c r="V296" s="25" t="str">
        <f aca="false">IF(N296="","",ROUND(R296*Settings!$B$19,0)-X296)</f>
        <v/>
      </c>
      <c r="W296" s="25" t="str">
        <f aca="false">IF(N296="","",IF(Settings!$B$31,ROUND(R296*Settings!$B$22,0),0))</f>
        <v/>
      </c>
      <c r="X296" s="25" t="str">
        <f aca="false">IF(N296="","",MIN(ROUND(T296*Settings!$B$20,0),ROUND(R296*Settings!$B$19,0)))</f>
        <v/>
      </c>
      <c r="Y296" s="25" t="str">
        <f aca="false">IF(N296="","",IF(Settings!$B$31,ROUND(S296*Settings!$B$21,0),0))</f>
        <v/>
      </c>
      <c r="Z296" s="25" t="str">
        <f aca="false">IF(N296="","",U296+V296+X296+W296+Y296)</f>
        <v/>
      </c>
      <c r="AA296" s="7" t="str">
        <f aca="false">IF(COUNT(C296:H296)=0,"",TRIM(IF(UPPER(K296)="N","Not a PF member, skipped. ","")&amp;IF(AND(UPPER(K296)&lt;&gt;"N",N(M296)&lt;=0),"PF wage is zero, skipped. ","")&amp;IF(AND(UPPER(K296)&lt;&gt;"N",N(M296)&gt;0,UPPER(L296)="N"),"Pension not applicable, whole 12% goes to EPF. ","")&amp;IF(AND(ISNUMBER(H296),ABS(SUM(C296:G296)-N(H296))&gt;1),"Heads in the file add up to "&amp;SUM(C296:G296)&amp;", Gross is "&amp;H296&amp;" (a pay head may be missing). ","")&amp;IF(AND(Settings!$B$32,N(H296)&gt;0,ISNUMBER(M296),N(M296)&lt;H296*0.5-0.5),"50% check: PF wage is "&amp;TEXT(M296/H296,"0%")&amp;" of gross. ","")&amp;IF(AND(N(M296)&gt;0,UPPER(K296)&lt;&gt;"N",N(N296)+N(O296)=0),"No days to count. ","")))</f>
        <v/>
      </c>
    </row>
    <row r="297" customFormat="false" ht="15" hidden="false" customHeight="false" outlineLevel="0" collapsed="false">
      <c r="A297" s="14"/>
      <c r="B297" s="14"/>
      <c r="C297" s="17"/>
      <c r="D297" s="17"/>
      <c r="E297" s="17"/>
      <c r="F297" s="17"/>
      <c r="G297" s="17"/>
      <c r="H297" s="17"/>
      <c r="I297" s="14"/>
      <c r="J297" s="14"/>
      <c r="K297" s="14"/>
      <c r="L297" s="14"/>
      <c r="M297" s="34" t="str">
        <f aca="false">IF(COUNT(C297:H297)=0,"",IFERROR(MAX(0,ROUND(IF(Settings!$B$33,IF(H297="",SUM(C297:G297),H297)-SUMPRODUCT(($C$4:$G$4="Y")*C297:G297),SUMPRODUCT(($C$4:$G$4="Y")*C297:G297)),0)),"Check inputs"))</f>
        <v/>
      </c>
      <c r="N297" s="35" t="str">
        <f aca="false">IF(AND(N($M297)&gt;0,UPPER($K297)&lt;&gt;"N"),IF(Settings!$B$28,MAX(0,MIN(Settings!$B$16,IF(I297="",Settings!$B$16,I297)))/Settings!$B$15,1),"")</f>
        <v/>
      </c>
      <c r="O297" s="35" t="str">
        <f aca="false">IF(AND(N($M297)&gt;0,UPPER($K297)&lt;&gt;"N"),IF(Settings!$B$28,MAX(0,MIN(Settings!$B$17,IF(J297="",Settings!$B$17,J297)))/Settings!$B$15,0),"")</f>
        <v/>
      </c>
      <c r="P297" s="34" t="str">
        <f aca="false">IF(N297="","",ROUND(IF(Settings!$B$27,MIN($M297,Settings!$B$29),$M297)*N297,0))</f>
        <v/>
      </c>
      <c r="Q297" s="34" t="str">
        <f aca="false">IF(N297="","",ROUND(IF(Settings!$B$27,MIN($M297,Settings!$B$30),$M297)*O297,0))</f>
        <v/>
      </c>
      <c r="R297" s="34" t="str">
        <f aca="false">IF(N297="","",P297+Q297)</f>
        <v/>
      </c>
      <c r="S297" s="34" t="str">
        <f aca="false">IF(N297="","",ROUND(MIN($M297,Settings!$B$29)*N297,0)+ROUND(MIN($M297,Settings!$B$30)*O297,0))</f>
        <v/>
      </c>
      <c r="T297" s="34" t="str">
        <f aca="false">IF(N297="","",IF(UPPER(L297)="N",0,S297))</f>
        <v/>
      </c>
      <c r="U297" s="25" t="str">
        <f aca="false">IF(N297="","",ROUND(R297*Settings!$B$18,0))</f>
        <v/>
      </c>
      <c r="V297" s="25" t="str">
        <f aca="false">IF(N297="","",ROUND(R297*Settings!$B$19,0)-X297)</f>
        <v/>
      </c>
      <c r="W297" s="25" t="str">
        <f aca="false">IF(N297="","",IF(Settings!$B$31,ROUND(R297*Settings!$B$22,0),0))</f>
        <v/>
      </c>
      <c r="X297" s="25" t="str">
        <f aca="false">IF(N297="","",MIN(ROUND(T297*Settings!$B$20,0),ROUND(R297*Settings!$B$19,0)))</f>
        <v/>
      </c>
      <c r="Y297" s="25" t="str">
        <f aca="false">IF(N297="","",IF(Settings!$B$31,ROUND(S297*Settings!$B$21,0),0))</f>
        <v/>
      </c>
      <c r="Z297" s="25" t="str">
        <f aca="false">IF(N297="","",U297+V297+X297+W297+Y297)</f>
        <v/>
      </c>
      <c r="AA297" s="7" t="str">
        <f aca="false">IF(COUNT(C297:H297)=0,"",TRIM(IF(UPPER(K297)="N","Not a PF member, skipped. ","")&amp;IF(AND(UPPER(K297)&lt;&gt;"N",N(M297)&lt;=0),"PF wage is zero, skipped. ","")&amp;IF(AND(UPPER(K297)&lt;&gt;"N",N(M297)&gt;0,UPPER(L297)="N"),"Pension not applicable, whole 12% goes to EPF. ","")&amp;IF(AND(ISNUMBER(H297),ABS(SUM(C297:G297)-N(H297))&gt;1),"Heads in the file add up to "&amp;SUM(C297:G297)&amp;", Gross is "&amp;H297&amp;" (a pay head may be missing). ","")&amp;IF(AND(Settings!$B$32,N(H297)&gt;0,ISNUMBER(M297),N(M297)&lt;H297*0.5-0.5),"50% check: PF wage is "&amp;TEXT(M297/H297,"0%")&amp;" of gross. ","")&amp;IF(AND(N(M297)&gt;0,UPPER(K297)&lt;&gt;"N",N(N297)+N(O297)=0),"No days to count. ","")))</f>
        <v/>
      </c>
    </row>
    <row r="298" customFormat="false" ht="15" hidden="false" customHeight="false" outlineLevel="0" collapsed="false">
      <c r="A298" s="14"/>
      <c r="B298" s="14"/>
      <c r="C298" s="17"/>
      <c r="D298" s="17"/>
      <c r="E298" s="17"/>
      <c r="F298" s="17"/>
      <c r="G298" s="17"/>
      <c r="H298" s="17"/>
      <c r="I298" s="14"/>
      <c r="J298" s="14"/>
      <c r="K298" s="14"/>
      <c r="L298" s="14"/>
      <c r="M298" s="34" t="str">
        <f aca="false">IF(COUNT(C298:H298)=0,"",IFERROR(MAX(0,ROUND(IF(Settings!$B$33,IF(H298="",SUM(C298:G298),H298)-SUMPRODUCT(($C$4:$G$4="Y")*C298:G298),SUMPRODUCT(($C$4:$G$4="Y")*C298:G298)),0)),"Check inputs"))</f>
        <v/>
      </c>
      <c r="N298" s="35" t="str">
        <f aca="false">IF(AND(N($M298)&gt;0,UPPER($K298)&lt;&gt;"N"),IF(Settings!$B$28,MAX(0,MIN(Settings!$B$16,IF(I298="",Settings!$B$16,I298)))/Settings!$B$15,1),"")</f>
        <v/>
      </c>
      <c r="O298" s="35" t="str">
        <f aca="false">IF(AND(N($M298)&gt;0,UPPER($K298)&lt;&gt;"N"),IF(Settings!$B$28,MAX(0,MIN(Settings!$B$17,IF(J298="",Settings!$B$17,J298)))/Settings!$B$15,0),"")</f>
        <v/>
      </c>
      <c r="P298" s="34" t="str">
        <f aca="false">IF(N298="","",ROUND(IF(Settings!$B$27,MIN($M298,Settings!$B$29),$M298)*N298,0))</f>
        <v/>
      </c>
      <c r="Q298" s="34" t="str">
        <f aca="false">IF(N298="","",ROUND(IF(Settings!$B$27,MIN($M298,Settings!$B$30),$M298)*O298,0))</f>
        <v/>
      </c>
      <c r="R298" s="34" t="str">
        <f aca="false">IF(N298="","",P298+Q298)</f>
        <v/>
      </c>
      <c r="S298" s="34" t="str">
        <f aca="false">IF(N298="","",ROUND(MIN($M298,Settings!$B$29)*N298,0)+ROUND(MIN($M298,Settings!$B$30)*O298,0))</f>
        <v/>
      </c>
      <c r="T298" s="34" t="str">
        <f aca="false">IF(N298="","",IF(UPPER(L298)="N",0,S298))</f>
        <v/>
      </c>
      <c r="U298" s="25" t="str">
        <f aca="false">IF(N298="","",ROUND(R298*Settings!$B$18,0))</f>
        <v/>
      </c>
      <c r="V298" s="25" t="str">
        <f aca="false">IF(N298="","",ROUND(R298*Settings!$B$19,0)-X298)</f>
        <v/>
      </c>
      <c r="W298" s="25" t="str">
        <f aca="false">IF(N298="","",IF(Settings!$B$31,ROUND(R298*Settings!$B$22,0),0))</f>
        <v/>
      </c>
      <c r="X298" s="25" t="str">
        <f aca="false">IF(N298="","",MIN(ROUND(T298*Settings!$B$20,0),ROUND(R298*Settings!$B$19,0)))</f>
        <v/>
      </c>
      <c r="Y298" s="25" t="str">
        <f aca="false">IF(N298="","",IF(Settings!$B$31,ROUND(S298*Settings!$B$21,0),0))</f>
        <v/>
      </c>
      <c r="Z298" s="25" t="str">
        <f aca="false">IF(N298="","",U298+V298+X298+W298+Y298)</f>
        <v/>
      </c>
      <c r="AA298" s="7" t="str">
        <f aca="false">IF(COUNT(C298:H298)=0,"",TRIM(IF(UPPER(K298)="N","Not a PF member, skipped. ","")&amp;IF(AND(UPPER(K298)&lt;&gt;"N",N(M298)&lt;=0),"PF wage is zero, skipped. ","")&amp;IF(AND(UPPER(K298)&lt;&gt;"N",N(M298)&gt;0,UPPER(L298)="N"),"Pension not applicable, whole 12% goes to EPF. ","")&amp;IF(AND(ISNUMBER(H298),ABS(SUM(C298:G298)-N(H298))&gt;1),"Heads in the file add up to "&amp;SUM(C298:G298)&amp;", Gross is "&amp;H298&amp;" (a pay head may be missing). ","")&amp;IF(AND(Settings!$B$32,N(H298)&gt;0,ISNUMBER(M298),N(M298)&lt;H298*0.5-0.5),"50% check: PF wage is "&amp;TEXT(M298/H298,"0%")&amp;" of gross. ","")&amp;IF(AND(N(M298)&gt;0,UPPER(K298)&lt;&gt;"N",N(N298)+N(O298)=0),"No days to count. ","")))</f>
        <v/>
      </c>
    </row>
    <row r="299" customFormat="false" ht="15" hidden="false" customHeight="false" outlineLevel="0" collapsed="false">
      <c r="A299" s="14"/>
      <c r="B299" s="14"/>
      <c r="C299" s="17"/>
      <c r="D299" s="17"/>
      <c r="E299" s="17"/>
      <c r="F299" s="17"/>
      <c r="G299" s="17"/>
      <c r="H299" s="17"/>
      <c r="I299" s="14"/>
      <c r="J299" s="14"/>
      <c r="K299" s="14"/>
      <c r="L299" s="14"/>
      <c r="M299" s="34" t="str">
        <f aca="false">IF(COUNT(C299:H299)=0,"",IFERROR(MAX(0,ROUND(IF(Settings!$B$33,IF(H299="",SUM(C299:G299),H299)-SUMPRODUCT(($C$4:$G$4="Y")*C299:G299),SUMPRODUCT(($C$4:$G$4="Y")*C299:G299)),0)),"Check inputs"))</f>
        <v/>
      </c>
      <c r="N299" s="35" t="str">
        <f aca="false">IF(AND(N($M299)&gt;0,UPPER($K299)&lt;&gt;"N"),IF(Settings!$B$28,MAX(0,MIN(Settings!$B$16,IF(I299="",Settings!$B$16,I299)))/Settings!$B$15,1),"")</f>
        <v/>
      </c>
      <c r="O299" s="35" t="str">
        <f aca="false">IF(AND(N($M299)&gt;0,UPPER($K299)&lt;&gt;"N"),IF(Settings!$B$28,MAX(0,MIN(Settings!$B$17,IF(J299="",Settings!$B$17,J299)))/Settings!$B$15,0),"")</f>
        <v/>
      </c>
      <c r="P299" s="34" t="str">
        <f aca="false">IF(N299="","",ROUND(IF(Settings!$B$27,MIN($M299,Settings!$B$29),$M299)*N299,0))</f>
        <v/>
      </c>
      <c r="Q299" s="34" t="str">
        <f aca="false">IF(N299="","",ROUND(IF(Settings!$B$27,MIN($M299,Settings!$B$30),$M299)*O299,0))</f>
        <v/>
      </c>
      <c r="R299" s="34" t="str">
        <f aca="false">IF(N299="","",P299+Q299)</f>
        <v/>
      </c>
      <c r="S299" s="34" t="str">
        <f aca="false">IF(N299="","",ROUND(MIN($M299,Settings!$B$29)*N299,0)+ROUND(MIN($M299,Settings!$B$30)*O299,0))</f>
        <v/>
      </c>
      <c r="T299" s="34" t="str">
        <f aca="false">IF(N299="","",IF(UPPER(L299)="N",0,S299))</f>
        <v/>
      </c>
      <c r="U299" s="25" t="str">
        <f aca="false">IF(N299="","",ROUND(R299*Settings!$B$18,0))</f>
        <v/>
      </c>
      <c r="V299" s="25" t="str">
        <f aca="false">IF(N299="","",ROUND(R299*Settings!$B$19,0)-X299)</f>
        <v/>
      </c>
      <c r="W299" s="25" t="str">
        <f aca="false">IF(N299="","",IF(Settings!$B$31,ROUND(R299*Settings!$B$22,0),0))</f>
        <v/>
      </c>
      <c r="X299" s="25" t="str">
        <f aca="false">IF(N299="","",MIN(ROUND(T299*Settings!$B$20,0),ROUND(R299*Settings!$B$19,0)))</f>
        <v/>
      </c>
      <c r="Y299" s="25" t="str">
        <f aca="false">IF(N299="","",IF(Settings!$B$31,ROUND(S299*Settings!$B$21,0),0))</f>
        <v/>
      </c>
      <c r="Z299" s="25" t="str">
        <f aca="false">IF(N299="","",U299+V299+X299+W299+Y299)</f>
        <v/>
      </c>
      <c r="AA299" s="7" t="str">
        <f aca="false">IF(COUNT(C299:H299)=0,"",TRIM(IF(UPPER(K299)="N","Not a PF member, skipped. ","")&amp;IF(AND(UPPER(K299)&lt;&gt;"N",N(M299)&lt;=0),"PF wage is zero, skipped. ","")&amp;IF(AND(UPPER(K299)&lt;&gt;"N",N(M299)&gt;0,UPPER(L299)="N"),"Pension not applicable, whole 12% goes to EPF. ","")&amp;IF(AND(ISNUMBER(H299),ABS(SUM(C299:G299)-N(H299))&gt;1),"Heads in the file add up to "&amp;SUM(C299:G299)&amp;", Gross is "&amp;H299&amp;" (a pay head may be missing). ","")&amp;IF(AND(Settings!$B$32,N(H299)&gt;0,ISNUMBER(M299),N(M299)&lt;H299*0.5-0.5),"50% check: PF wage is "&amp;TEXT(M299/H299,"0%")&amp;" of gross. ","")&amp;IF(AND(N(M299)&gt;0,UPPER(K299)&lt;&gt;"N",N(N299)+N(O299)=0),"No days to count. ","")))</f>
        <v/>
      </c>
    </row>
    <row r="300" customFormat="false" ht="15" hidden="false" customHeight="false" outlineLevel="0" collapsed="false">
      <c r="A300" s="14"/>
      <c r="B300" s="14"/>
      <c r="C300" s="17"/>
      <c r="D300" s="17"/>
      <c r="E300" s="17"/>
      <c r="F300" s="17"/>
      <c r="G300" s="17"/>
      <c r="H300" s="17"/>
      <c r="I300" s="14"/>
      <c r="J300" s="14"/>
      <c r="K300" s="14"/>
      <c r="L300" s="14"/>
      <c r="M300" s="34" t="str">
        <f aca="false">IF(COUNT(C300:H300)=0,"",IFERROR(MAX(0,ROUND(IF(Settings!$B$33,IF(H300="",SUM(C300:G300),H300)-SUMPRODUCT(($C$4:$G$4="Y")*C300:G300),SUMPRODUCT(($C$4:$G$4="Y")*C300:G300)),0)),"Check inputs"))</f>
        <v/>
      </c>
      <c r="N300" s="35" t="str">
        <f aca="false">IF(AND(N($M300)&gt;0,UPPER($K300)&lt;&gt;"N"),IF(Settings!$B$28,MAX(0,MIN(Settings!$B$16,IF(I300="",Settings!$B$16,I300)))/Settings!$B$15,1),"")</f>
        <v/>
      </c>
      <c r="O300" s="35" t="str">
        <f aca="false">IF(AND(N($M300)&gt;0,UPPER($K300)&lt;&gt;"N"),IF(Settings!$B$28,MAX(0,MIN(Settings!$B$17,IF(J300="",Settings!$B$17,J300)))/Settings!$B$15,0),"")</f>
        <v/>
      </c>
      <c r="P300" s="34" t="str">
        <f aca="false">IF(N300="","",ROUND(IF(Settings!$B$27,MIN($M300,Settings!$B$29),$M300)*N300,0))</f>
        <v/>
      </c>
      <c r="Q300" s="34" t="str">
        <f aca="false">IF(N300="","",ROUND(IF(Settings!$B$27,MIN($M300,Settings!$B$30),$M300)*O300,0))</f>
        <v/>
      </c>
      <c r="R300" s="34" t="str">
        <f aca="false">IF(N300="","",P300+Q300)</f>
        <v/>
      </c>
      <c r="S300" s="34" t="str">
        <f aca="false">IF(N300="","",ROUND(MIN($M300,Settings!$B$29)*N300,0)+ROUND(MIN($M300,Settings!$B$30)*O300,0))</f>
        <v/>
      </c>
      <c r="T300" s="34" t="str">
        <f aca="false">IF(N300="","",IF(UPPER(L300)="N",0,S300))</f>
        <v/>
      </c>
      <c r="U300" s="25" t="str">
        <f aca="false">IF(N300="","",ROUND(R300*Settings!$B$18,0))</f>
        <v/>
      </c>
      <c r="V300" s="25" t="str">
        <f aca="false">IF(N300="","",ROUND(R300*Settings!$B$19,0)-X300)</f>
        <v/>
      </c>
      <c r="W300" s="25" t="str">
        <f aca="false">IF(N300="","",IF(Settings!$B$31,ROUND(R300*Settings!$B$22,0),0))</f>
        <v/>
      </c>
      <c r="X300" s="25" t="str">
        <f aca="false">IF(N300="","",MIN(ROUND(T300*Settings!$B$20,0),ROUND(R300*Settings!$B$19,0)))</f>
        <v/>
      </c>
      <c r="Y300" s="25" t="str">
        <f aca="false">IF(N300="","",IF(Settings!$B$31,ROUND(S300*Settings!$B$21,0),0))</f>
        <v/>
      </c>
      <c r="Z300" s="25" t="str">
        <f aca="false">IF(N300="","",U300+V300+X300+W300+Y300)</f>
        <v/>
      </c>
      <c r="AA300" s="7" t="str">
        <f aca="false">IF(COUNT(C300:H300)=0,"",TRIM(IF(UPPER(K300)="N","Not a PF member, skipped. ","")&amp;IF(AND(UPPER(K300)&lt;&gt;"N",N(M300)&lt;=0),"PF wage is zero, skipped. ","")&amp;IF(AND(UPPER(K300)&lt;&gt;"N",N(M300)&gt;0,UPPER(L300)="N"),"Pension not applicable, whole 12% goes to EPF. ","")&amp;IF(AND(ISNUMBER(H300),ABS(SUM(C300:G300)-N(H300))&gt;1),"Heads in the file add up to "&amp;SUM(C300:G300)&amp;", Gross is "&amp;H300&amp;" (a pay head may be missing). ","")&amp;IF(AND(Settings!$B$32,N(H300)&gt;0,ISNUMBER(M300),N(M300)&lt;H300*0.5-0.5),"50% check: PF wage is "&amp;TEXT(M300/H300,"0%")&amp;" of gross. ","")&amp;IF(AND(N(M300)&gt;0,UPPER(K300)&lt;&gt;"N",N(N300)+N(O300)=0),"No days to count. ","")))</f>
        <v/>
      </c>
    </row>
    <row r="301" customFormat="false" ht="15" hidden="false" customHeight="false" outlineLevel="0" collapsed="false">
      <c r="A301" s="14"/>
      <c r="B301" s="14"/>
      <c r="C301" s="17"/>
      <c r="D301" s="17"/>
      <c r="E301" s="17"/>
      <c r="F301" s="17"/>
      <c r="G301" s="17"/>
      <c r="H301" s="17"/>
      <c r="I301" s="14"/>
      <c r="J301" s="14"/>
      <c r="K301" s="14"/>
      <c r="L301" s="14"/>
      <c r="M301" s="34" t="str">
        <f aca="false">IF(COUNT(C301:H301)=0,"",IFERROR(MAX(0,ROUND(IF(Settings!$B$33,IF(H301="",SUM(C301:G301),H301)-SUMPRODUCT(($C$4:$G$4="Y")*C301:G301),SUMPRODUCT(($C$4:$G$4="Y")*C301:G301)),0)),"Check inputs"))</f>
        <v/>
      </c>
      <c r="N301" s="35" t="str">
        <f aca="false">IF(AND(N($M301)&gt;0,UPPER($K301)&lt;&gt;"N"),IF(Settings!$B$28,MAX(0,MIN(Settings!$B$16,IF(I301="",Settings!$B$16,I301)))/Settings!$B$15,1),"")</f>
        <v/>
      </c>
      <c r="O301" s="35" t="str">
        <f aca="false">IF(AND(N($M301)&gt;0,UPPER($K301)&lt;&gt;"N"),IF(Settings!$B$28,MAX(0,MIN(Settings!$B$17,IF(J301="",Settings!$B$17,J301)))/Settings!$B$15,0),"")</f>
        <v/>
      </c>
      <c r="P301" s="34" t="str">
        <f aca="false">IF(N301="","",ROUND(IF(Settings!$B$27,MIN($M301,Settings!$B$29),$M301)*N301,0))</f>
        <v/>
      </c>
      <c r="Q301" s="34" t="str">
        <f aca="false">IF(N301="","",ROUND(IF(Settings!$B$27,MIN($M301,Settings!$B$30),$M301)*O301,0))</f>
        <v/>
      </c>
      <c r="R301" s="34" t="str">
        <f aca="false">IF(N301="","",P301+Q301)</f>
        <v/>
      </c>
      <c r="S301" s="34" t="str">
        <f aca="false">IF(N301="","",ROUND(MIN($M301,Settings!$B$29)*N301,0)+ROUND(MIN($M301,Settings!$B$30)*O301,0))</f>
        <v/>
      </c>
      <c r="T301" s="34" t="str">
        <f aca="false">IF(N301="","",IF(UPPER(L301)="N",0,S301))</f>
        <v/>
      </c>
      <c r="U301" s="25" t="str">
        <f aca="false">IF(N301="","",ROUND(R301*Settings!$B$18,0))</f>
        <v/>
      </c>
      <c r="V301" s="25" t="str">
        <f aca="false">IF(N301="","",ROUND(R301*Settings!$B$19,0)-X301)</f>
        <v/>
      </c>
      <c r="W301" s="25" t="str">
        <f aca="false">IF(N301="","",IF(Settings!$B$31,ROUND(R301*Settings!$B$22,0),0))</f>
        <v/>
      </c>
      <c r="X301" s="25" t="str">
        <f aca="false">IF(N301="","",MIN(ROUND(T301*Settings!$B$20,0),ROUND(R301*Settings!$B$19,0)))</f>
        <v/>
      </c>
      <c r="Y301" s="25" t="str">
        <f aca="false">IF(N301="","",IF(Settings!$B$31,ROUND(S301*Settings!$B$21,0),0))</f>
        <v/>
      </c>
      <c r="Z301" s="25" t="str">
        <f aca="false">IF(N301="","",U301+V301+X301+W301+Y301)</f>
        <v/>
      </c>
      <c r="AA301" s="7" t="str">
        <f aca="false">IF(COUNT(C301:H301)=0,"",TRIM(IF(UPPER(K301)="N","Not a PF member, skipped. ","")&amp;IF(AND(UPPER(K301)&lt;&gt;"N",N(M301)&lt;=0),"PF wage is zero, skipped. ","")&amp;IF(AND(UPPER(K301)&lt;&gt;"N",N(M301)&gt;0,UPPER(L301)="N"),"Pension not applicable, whole 12% goes to EPF. ","")&amp;IF(AND(ISNUMBER(H301),ABS(SUM(C301:G301)-N(H301))&gt;1),"Heads in the file add up to "&amp;SUM(C301:G301)&amp;", Gross is "&amp;H301&amp;" (a pay head may be missing). ","")&amp;IF(AND(Settings!$B$32,N(H301)&gt;0,ISNUMBER(M301),N(M301)&lt;H301*0.5-0.5),"50% check: PF wage is "&amp;TEXT(M301/H301,"0%")&amp;" of gross. ","")&amp;IF(AND(N(M301)&gt;0,UPPER(K301)&lt;&gt;"N",N(N301)+N(O301)=0),"No days to count. ","")))</f>
        <v/>
      </c>
    </row>
    <row r="302" customFormat="false" ht="15" hidden="false" customHeight="false" outlineLevel="0" collapsed="false">
      <c r="A302" s="14"/>
      <c r="B302" s="14"/>
      <c r="C302" s="17"/>
      <c r="D302" s="17"/>
      <c r="E302" s="17"/>
      <c r="F302" s="17"/>
      <c r="G302" s="17"/>
      <c r="H302" s="17"/>
      <c r="I302" s="14"/>
      <c r="J302" s="14"/>
      <c r="K302" s="14"/>
      <c r="L302" s="14"/>
      <c r="M302" s="34" t="str">
        <f aca="false">IF(COUNT(C302:H302)=0,"",IFERROR(MAX(0,ROUND(IF(Settings!$B$33,IF(H302="",SUM(C302:G302),H302)-SUMPRODUCT(($C$4:$G$4="Y")*C302:G302),SUMPRODUCT(($C$4:$G$4="Y")*C302:G302)),0)),"Check inputs"))</f>
        <v/>
      </c>
      <c r="N302" s="35" t="str">
        <f aca="false">IF(AND(N($M302)&gt;0,UPPER($K302)&lt;&gt;"N"),IF(Settings!$B$28,MAX(0,MIN(Settings!$B$16,IF(I302="",Settings!$B$16,I302)))/Settings!$B$15,1),"")</f>
        <v/>
      </c>
      <c r="O302" s="35" t="str">
        <f aca="false">IF(AND(N($M302)&gt;0,UPPER($K302)&lt;&gt;"N"),IF(Settings!$B$28,MAX(0,MIN(Settings!$B$17,IF(J302="",Settings!$B$17,J302)))/Settings!$B$15,0),"")</f>
        <v/>
      </c>
      <c r="P302" s="34" t="str">
        <f aca="false">IF(N302="","",ROUND(IF(Settings!$B$27,MIN($M302,Settings!$B$29),$M302)*N302,0))</f>
        <v/>
      </c>
      <c r="Q302" s="34" t="str">
        <f aca="false">IF(N302="","",ROUND(IF(Settings!$B$27,MIN($M302,Settings!$B$30),$M302)*O302,0))</f>
        <v/>
      </c>
      <c r="R302" s="34" t="str">
        <f aca="false">IF(N302="","",P302+Q302)</f>
        <v/>
      </c>
      <c r="S302" s="34" t="str">
        <f aca="false">IF(N302="","",ROUND(MIN($M302,Settings!$B$29)*N302,0)+ROUND(MIN($M302,Settings!$B$30)*O302,0))</f>
        <v/>
      </c>
      <c r="T302" s="34" t="str">
        <f aca="false">IF(N302="","",IF(UPPER(L302)="N",0,S302))</f>
        <v/>
      </c>
      <c r="U302" s="25" t="str">
        <f aca="false">IF(N302="","",ROUND(R302*Settings!$B$18,0))</f>
        <v/>
      </c>
      <c r="V302" s="25" t="str">
        <f aca="false">IF(N302="","",ROUND(R302*Settings!$B$19,0)-X302)</f>
        <v/>
      </c>
      <c r="W302" s="25" t="str">
        <f aca="false">IF(N302="","",IF(Settings!$B$31,ROUND(R302*Settings!$B$22,0),0))</f>
        <v/>
      </c>
      <c r="X302" s="25" t="str">
        <f aca="false">IF(N302="","",MIN(ROUND(T302*Settings!$B$20,0),ROUND(R302*Settings!$B$19,0)))</f>
        <v/>
      </c>
      <c r="Y302" s="25" t="str">
        <f aca="false">IF(N302="","",IF(Settings!$B$31,ROUND(S302*Settings!$B$21,0),0))</f>
        <v/>
      </c>
      <c r="Z302" s="25" t="str">
        <f aca="false">IF(N302="","",U302+V302+X302+W302+Y302)</f>
        <v/>
      </c>
      <c r="AA302" s="7" t="str">
        <f aca="false">IF(COUNT(C302:H302)=0,"",TRIM(IF(UPPER(K302)="N","Not a PF member, skipped. ","")&amp;IF(AND(UPPER(K302)&lt;&gt;"N",N(M302)&lt;=0),"PF wage is zero, skipped. ","")&amp;IF(AND(UPPER(K302)&lt;&gt;"N",N(M302)&gt;0,UPPER(L302)="N"),"Pension not applicable, whole 12% goes to EPF. ","")&amp;IF(AND(ISNUMBER(H302),ABS(SUM(C302:G302)-N(H302))&gt;1),"Heads in the file add up to "&amp;SUM(C302:G302)&amp;", Gross is "&amp;H302&amp;" (a pay head may be missing). ","")&amp;IF(AND(Settings!$B$32,N(H302)&gt;0,ISNUMBER(M302),N(M302)&lt;H302*0.5-0.5),"50% check: PF wage is "&amp;TEXT(M302/H302,"0%")&amp;" of gross. ","")&amp;IF(AND(N(M302)&gt;0,UPPER(K302)&lt;&gt;"N",N(N302)+N(O302)=0),"No days to count. ","")))</f>
        <v/>
      </c>
    </row>
    <row r="303" customFormat="false" ht="15" hidden="false" customHeight="false" outlineLevel="0" collapsed="false">
      <c r="A303" s="14"/>
      <c r="B303" s="14"/>
      <c r="C303" s="17"/>
      <c r="D303" s="17"/>
      <c r="E303" s="17"/>
      <c r="F303" s="17"/>
      <c r="G303" s="17"/>
      <c r="H303" s="17"/>
      <c r="I303" s="14"/>
      <c r="J303" s="14"/>
      <c r="K303" s="14"/>
      <c r="L303" s="14"/>
      <c r="M303" s="34" t="str">
        <f aca="false">IF(COUNT(C303:H303)=0,"",IFERROR(MAX(0,ROUND(IF(Settings!$B$33,IF(H303="",SUM(C303:G303),H303)-SUMPRODUCT(($C$4:$G$4="Y")*C303:G303),SUMPRODUCT(($C$4:$G$4="Y")*C303:G303)),0)),"Check inputs"))</f>
        <v/>
      </c>
      <c r="N303" s="35" t="str">
        <f aca="false">IF(AND(N($M303)&gt;0,UPPER($K303)&lt;&gt;"N"),IF(Settings!$B$28,MAX(0,MIN(Settings!$B$16,IF(I303="",Settings!$B$16,I303)))/Settings!$B$15,1),"")</f>
        <v/>
      </c>
      <c r="O303" s="35" t="str">
        <f aca="false">IF(AND(N($M303)&gt;0,UPPER($K303)&lt;&gt;"N"),IF(Settings!$B$28,MAX(0,MIN(Settings!$B$17,IF(J303="",Settings!$B$17,J303)))/Settings!$B$15,0),"")</f>
        <v/>
      </c>
      <c r="P303" s="34" t="str">
        <f aca="false">IF(N303="","",ROUND(IF(Settings!$B$27,MIN($M303,Settings!$B$29),$M303)*N303,0))</f>
        <v/>
      </c>
      <c r="Q303" s="34" t="str">
        <f aca="false">IF(N303="","",ROUND(IF(Settings!$B$27,MIN($M303,Settings!$B$30),$M303)*O303,0))</f>
        <v/>
      </c>
      <c r="R303" s="34" t="str">
        <f aca="false">IF(N303="","",P303+Q303)</f>
        <v/>
      </c>
      <c r="S303" s="34" t="str">
        <f aca="false">IF(N303="","",ROUND(MIN($M303,Settings!$B$29)*N303,0)+ROUND(MIN($M303,Settings!$B$30)*O303,0))</f>
        <v/>
      </c>
      <c r="T303" s="34" t="str">
        <f aca="false">IF(N303="","",IF(UPPER(L303)="N",0,S303))</f>
        <v/>
      </c>
      <c r="U303" s="25" t="str">
        <f aca="false">IF(N303="","",ROUND(R303*Settings!$B$18,0))</f>
        <v/>
      </c>
      <c r="V303" s="25" t="str">
        <f aca="false">IF(N303="","",ROUND(R303*Settings!$B$19,0)-X303)</f>
        <v/>
      </c>
      <c r="W303" s="25" t="str">
        <f aca="false">IF(N303="","",IF(Settings!$B$31,ROUND(R303*Settings!$B$22,0),0))</f>
        <v/>
      </c>
      <c r="X303" s="25" t="str">
        <f aca="false">IF(N303="","",MIN(ROUND(T303*Settings!$B$20,0),ROUND(R303*Settings!$B$19,0)))</f>
        <v/>
      </c>
      <c r="Y303" s="25" t="str">
        <f aca="false">IF(N303="","",IF(Settings!$B$31,ROUND(S303*Settings!$B$21,0),0))</f>
        <v/>
      </c>
      <c r="Z303" s="25" t="str">
        <f aca="false">IF(N303="","",U303+V303+X303+W303+Y303)</f>
        <v/>
      </c>
      <c r="AA303" s="7" t="str">
        <f aca="false">IF(COUNT(C303:H303)=0,"",TRIM(IF(UPPER(K303)="N","Not a PF member, skipped. ","")&amp;IF(AND(UPPER(K303)&lt;&gt;"N",N(M303)&lt;=0),"PF wage is zero, skipped. ","")&amp;IF(AND(UPPER(K303)&lt;&gt;"N",N(M303)&gt;0,UPPER(L303)="N"),"Pension not applicable, whole 12% goes to EPF. ","")&amp;IF(AND(ISNUMBER(H303),ABS(SUM(C303:G303)-N(H303))&gt;1),"Heads in the file add up to "&amp;SUM(C303:G303)&amp;", Gross is "&amp;H303&amp;" (a pay head may be missing). ","")&amp;IF(AND(Settings!$B$32,N(H303)&gt;0,ISNUMBER(M303),N(M303)&lt;H303*0.5-0.5),"50% check: PF wage is "&amp;TEXT(M303/H303,"0%")&amp;" of gross. ","")&amp;IF(AND(N(M303)&gt;0,UPPER(K303)&lt;&gt;"N",N(N303)+N(O303)=0),"No days to count. ","")))</f>
        <v/>
      </c>
    </row>
    <row r="304" customFormat="false" ht="15" hidden="false" customHeight="false" outlineLevel="0" collapsed="false">
      <c r="A304" s="14"/>
      <c r="B304" s="14"/>
      <c r="C304" s="17"/>
      <c r="D304" s="17"/>
      <c r="E304" s="17"/>
      <c r="F304" s="17"/>
      <c r="G304" s="17"/>
      <c r="H304" s="17"/>
      <c r="I304" s="14"/>
      <c r="J304" s="14"/>
      <c r="K304" s="14"/>
      <c r="L304" s="14"/>
      <c r="M304" s="34" t="str">
        <f aca="false">IF(COUNT(C304:H304)=0,"",IFERROR(MAX(0,ROUND(IF(Settings!$B$33,IF(H304="",SUM(C304:G304),H304)-SUMPRODUCT(($C$4:$G$4="Y")*C304:G304),SUMPRODUCT(($C$4:$G$4="Y")*C304:G304)),0)),"Check inputs"))</f>
        <v/>
      </c>
      <c r="N304" s="35" t="str">
        <f aca="false">IF(AND(N($M304)&gt;0,UPPER($K304)&lt;&gt;"N"),IF(Settings!$B$28,MAX(0,MIN(Settings!$B$16,IF(I304="",Settings!$B$16,I304)))/Settings!$B$15,1),"")</f>
        <v/>
      </c>
      <c r="O304" s="35" t="str">
        <f aca="false">IF(AND(N($M304)&gt;0,UPPER($K304)&lt;&gt;"N"),IF(Settings!$B$28,MAX(0,MIN(Settings!$B$17,IF(J304="",Settings!$B$17,J304)))/Settings!$B$15,0),"")</f>
        <v/>
      </c>
      <c r="P304" s="34" t="str">
        <f aca="false">IF(N304="","",ROUND(IF(Settings!$B$27,MIN($M304,Settings!$B$29),$M304)*N304,0))</f>
        <v/>
      </c>
      <c r="Q304" s="34" t="str">
        <f aca="false">IF(N304="","",ROUND(IF(Settings!$B$27,MIN($M304,Settings!$B$30),$M304)*O304,0))</f>
        <v/>
      </c>
      <c r="R304" s="34" t="str">
        <f aca="false">IF(N304="","",P304+Q304)</f>
        <v/>
      </c>
      <c r="S304" s="34" t="str">
        <f aca="false">IF(N304="","",ROUND(MIN($M304,Settings!$B$29)*N304,0)+ROUND(MIN($M304,Settings!$B$30)*O304,0))</f>
        <v/>
      </c>
      <c r="T304" s="34" t="str">
        <f aca="false">IF(N304="","",IF(UPPER(L304)="N",0,S304))</f>
        <v/>
      </c>
      <c r="U304" s="25" t="str">
        <f aca="false">IF(N304="","",ROUND(R304*Settings!$B$18,0))</f>
        <v/>
      </c>
      <c r="V304" s="25" t="str">
        <f aca="false">IF(N304="","",ROUND(R304*Settings!$B$19,0)-X304)</f>
        <v/>
      </c>
      <c r="W304" s="25" t="str">
        <f aca="false">IF(N304="","",IF(Settings!$B$31,ROUND(R304*Settings!$B$22,0),0))</f>
        <v/>
      </c>
      <c r="X304" s="25" t="str">
        <f aca="false">IF(N304="","",MIN(ROUND(T304*Settings!$B$20,0),ROUND(R304*Settings!$B$19,0)))</f>
        <v/>
      </c>
      <c r="Y304" s="25" t="str">
        <f aca="false">IF(N304="","",IF(Settings!$B$31,ROUND(S304*Settings!$B$21,0),0))</f>
        <v/>
      </c>
      <c r="Z304" s="25" t="str">
        <f aca="false">IF(N304="","",U304+V304+X304+W304+Y304)</f>
        <v/>
      </c>
      <c r="AA304" s="7" t="str">
        <f aca="false">IF(COUNT(C304:H304)=0,"",TRIM(IF(UPPER(K304)="N","Not a PF member, skipped. ","")&amp;IF(AND(UPPER(K304)&lt;&gt;"N",N(M304)&lt;=0),"PF wage is zero, skipped. ","")&amp;IF(AND(UPPER(K304)&lt;&gt;"N",N(M304)&gt;0,UPPER(L304)="N"),"Pension not applicable, whole 12% goes to EPF. ","")&amp;IF(AND(ISNUMBER(H304),ABS(SUM(C304:G304)-N(H304))&gt;1),"Heads in the file add up to "&amp;SUM(C304:G304)&amp;", Gross is "&amp;H304&amp;" (a pay head may be missing). ","")&amp;IF(AND(Settings!$B$32,N(H304)&gt;0,ISNUMBER(M304),N(M304)&lt;H304*0.5-0.5),"50% check: PF wage is "&amp;TEXT(M304/H304,"0%")&amp;" of gross. ","")&amp;IF(AND(N(M304)&gt;0,UPPER(K304)&lt;&gt;"N",N(N304)+N(O304)=0),"No days to count. ","")))</f>
        <v/>
      </c>
    </row>
    <row r="305" customFormat="false" ht="15" hidden="false" customHeight="false" outlineLevel="0" collapsed="false">
      <c r="A305" s="14"/>
      <c r="B305" s="14"/>
      <c r="C305" s="17"/>
      <c r="D305" s="17"/>
      <c r="E305" s="17"/>
      <c r="F305" s="17"/>
      <c r="G305" s="17"/>
      <c r="H305" s="17"/>
      <c r="I305" s="14"/>
      <c r="J305" s="14"/>
      <c r="K305" s="14"/>
      <c r="L305" s="14"/>
      <c r="M305" s="34" t="str">
        <f aca="false">IF(COUNT(C305:H305)=0,"",IFERROR(MAX(0,ROUND(IF(Settings!$B$33,IF(H305="",SUM(C305:G305),H305)-SUMPRODUCT(($C$4:$G$4="Y")*C305:G305),SUMPRODUCT(($C$4:$G$4="Y")*C305:G305)),0)),"Check inputs"))</f>
        <v/>
      </c>
      <c r="N305" s="35" t="str">
        <f aca="false">IF(AND(N($M305)&gt;0,UPPER($K305)&lt;&gt;"N"),IF(Settings!$B$28,MAX(0,MIN(Settings!$B$16,IF(I305="",Settings!$B$16,I305)))/Settings!$B$15,1),"")</f>
        <v/>
      </c>
      <c r="O305" s="35" t="str">
        <f aca="false">IF(AND(N($M305)&gt;0,UPPER($K305)&lt;&gt;"N"),IF(Settings!$B$28,MAX(0,MIN(Settings!$B$17,IF(J305="",Settings!$B$17,J305)))/Settings!$B$15,0),"")</f>
        <v/>
      </c>
      <c r="P305" s="34" t="str">
        <f aca="false">IF(N305="","",ROUND(IF(Settings!$B$27,MIN($M305,Settings!$B$29),$M305)*N305,0))</f>
        <v/>
      </c>
      <c r="Q305" s="34" t="str">
        <f aca="false">IF(N305="","",ROUND(IF(Settings!$B$27,MIN($M305,Settings!$B$30),$M305)*O305,0))</f>
        <v/>
      </c>
      <c r="R305" s="34" t="str">
        <f aca="false">IF(N305="","",P305+Q305)</f>
        <v/>
      </c>
      <c r="S305" s="34" t="str">
        <f aca="false">IF(N305="","",ROUND(MIN($M305,Settings!$B$29)*N305,0)+ROUND(MIN($M305,Settings!$B$30)*O305,0))</f>
        <v/>
      </c>
      <c r="T305" s="34" t="str">
        <f aca="false">IF(N305="","",IF(UPPER(L305)="N",0,S305))</f>
        <v/>
      </c>
      <c r="U305" s="25" t="str">
        <f aca="false">IF(N305="","",ROUND(R305*Settings!$B$18,0))</f>
        <v/>
      </c>
      <c r="V305" s="25" t="str">
        <f aca="false">IF(N305="","",ROUND(R305*Settings!$B$19,0)-X305)</f>
        <v/>
      </c>
      <c r="W305" s="25" t="str">
        <f aca="false">IF(N305="","",IF(Settings!$B$31,ROUND(R305*Settings!$B$22,0),0))</f>
        <v/>
      </c>
      <c r="X305" s="25" t="str">
        <f aca="false">IF(N305="","",MIN(ROUND(T305*Settings!$B$20,0),ROUND(R305*Settings!$B$19,0)))</f>
        <v/>
      </c>
      <c r="Y305" s="25" t="str">
        <f aca="false">IF(N305="","",IF(Settings!$B$31,ROUND(S305*Settings!$B$21,0),0))</f>
        <v/>
      </c>
      <c r="Z305" s="25" t="str">
        <f aca="false">IF(N305="","",U305+V305+X305+W305+Y305)</f>
        <v/>
      </c>
      <c r="AA305" s="7" t="str">
        <f aca="false">IF(COUNT(C305:H305)=0,"",TRIM(IF(UPPER(K305)="N","Not a PF member, skipped. ","")&amp;IF(AND(UPPER(K305)&lt;&gt;"N",N(M305)&lt;=0),"PF wage is zero, skipped. ","")&amp;IF(AND(UPPER(K305)&lt;&gt;"N",N(M305)&gt;0,UPPER(L305)="N"),"Pension not applicable, whole 12% goes to EPF. ","")&amp;IF(AND(ISNUMBER(H305),ABS(SUM(C305:G305)-N(H305))&gt;1),"Heads in the file add up to "&amp;SUM(C305:G305)&amp;", Gross is "&amp;H305&amp;" (a pay head may be missing). ","")&amp;IF(AND(Settings!$B$32,N(H305)&gt;0,ISNUMBER(M305),N(M305)&lt;H305*0.5-0.5),"50% check: PF wage is "&amp;TEXT(M305/H305,"0%")&amp;" of gross. ","")&amp;IF(AND(N(M305)&gt;0,UPPER(K305)&lt;&gt;"N",N(N305)+N(O305)=0),"No days to count. ","")))</f>
        <v/>
      </c>
    </row>
    <row r="306" customFormat="false" ht="15" hidden="false" customHeight="false" outlineLevel="0" collapsed="false">
      <c r="A306" s="14"/>
      <c r="B306" s="14"/>
      <c r="C306" s="17"/>
      <c r="D306" s="17"/>
      <c r="E306" s="17"/>
      <c r="F306" s="17"/>
      <c r="G306" s="17"/>
      <c r="H306" s="17"/>
      <c r="I306" s="14"/>
      <c r="J306" s="14"/>
      <c r="K306" s="14"/>
      <c r="L306" s="14"/>
      <c r="M306" s="34" t="str">
        <f aca="false">IF(COUNT(C306:H306)=0,"",IFERROR(MAX(0,ROUND(IF(Settings!$B$33,IF(H306="",SUM(C306:G306),H306)-SUMPRODUCT(($C$4:$G$4="Y")*C306:G306),SUMPRODUCT(($C$4:$G$4="Y")*C306:G306)),0)),"Check inputs"))</f>
        <v/>
      </c>
      <c r="N306" s="35" t="str">
        <f aca="false">IF(AND(N($M306)&gt;0,UPPER($K306)&lt;&gt;"N"),IF(Settings!$B$28,MAX(0,MIN(Settings!$B$16,IF(I306="",Settings!$B$16,I306)))/Settings!$B$15,1),"")</f>
        <v/>
      </c>
      <c r="O306" s="35" t="str">
        <f aca="false">IF(AND(N($M306)&gt;0,UPPER($K306)&lt;&gt;"N"),IF(Settings!$B$28,MAX(0,MIN(Settings!$B$17,IF(J306="",Settings!$B$17,J306)))/Settings!$B$15,0),"")</f>
        <v/>
      </c>
      <c r="P306" s="34" t="str">
        <f aca="false">IF(N306="","",ROUND(IF(Settings!$B$27,MIN($M306,Settings!$B$29),$M306)*N306,0))</f>
        <v/>
      </c>
      <c r="Q306" s="34" t="str">
        <f aca="false">IF(N306="","",ROUND(IF(Settings!$B$27,MIN($M306,Settings!$B$30),$M306)*O306,0))</f>
        <v/>
      </c>
      <c r="R306" s="34" t="str">
        <f aca="false">IF(N306="","",P306+Q306)</f>
        <v/>
      </c>
      <c r="S306" s="34" t="str">
        <f aca="false">IF(N306="","",ROUND(MIN($M306,Settings!$B$29)*N306,0)+ROUND(MIN($M306,Settings!$B$30)*O306,0))</f>
        <v/>
      </c>
      <c r="T306" s="34" t="str">
        <f aca="false">IF(N306="","",IF(UPPER(L306)="N",0,S306))</f>
        <v/>
      </c>
      <c r="U306" s="25" t="str">
        <f aca="false">IF(N306="","",ROUND(R306*Settings!$B$18,0))</f>
        <v/>
      </c>
      <c r="V306" s="25" t="str">
        <f aca="false">IF(N306="","",ROUND(R306*Settings!$B$19,0)-X306)</f>
        <v/>
      </c>
      <c r="W306" s="25" t="str">
        <f aca="false">IF(N306="","",IF(Settings!$B$31,ROUND(R306*Settings!$B$22,0),0))</f>
        <v/>
      </c>
      <c r="X306" s="25" t="str">
        <f aca="false">IF(N306="","",MIN(ROUND(T306*Settings!$B$20,0),ROUND(R306*Settings!$B$19,0)))</f>
        <v/>
      </c>
      <c r="Y306" s="25" t="str">
        <f aca="false">IF(N306="","",IF(Settings!$B$31,ROUND(S306*Settings!$B$21,0),0))</f>
        <v/>
      </c>
      <c r="Z306" s="25" t="str">
        <f aca="false">IF(N306="","",U306+V306+X306+W306+Y306)</f>
        <v/>
      </c>
      <c r="AA306" s="7" t="str">
        <f aca="false">IF(COUNT(C306:H306)=0,"",TRIM(IF(UPPER(K306)="N","Not a PF member, skipped. ","")&amp;IF(AND(UPPER(K306)&lt;&gt;"N",N(M306)&lt;=0),"PF wage is zero, skipped. ","")&amp;IF(AND(UPPER(K306)&lt;&gt;"N",N(M306)&gt;0,UPPER(L306)="N"),"Pension not applicable, whole 12% goes to EPF. ","")&amp;IF(AND(ISNUMBER(H306),ABS(SUM(C306:G306)-N(H306))&gt;1),"Heads in the file add up to "&amp;SUM(C306:G306)&amp;", Gross is "&amp;H306&amp;" (a pay head may be missing). ","")&amp;IF(AND(Settings!$B$32,N(H306)&gt;0,ISNUMBER(M306),N(M306)&lt;H306*0.5-0.5),"50% check: PF wage is "&amp;TEXT(M306/H306,"0%")&amp;" of gross. ","")&amp;IF(AND(N(M306)&gt;0,UPPER(K306)&lt;&gt;"N",N(N306)+N(O306)=0),"No days to count. ","")))</f>
        <v/>
      </c>
    </row>
    <row r="307" customFormat="false" ht="15" hidden="false" customHeight="false" outlineLevel="0" collapsed="false">
      <c r="A307" s="14"/>
      <c r="B307" s="14"/>
      <c r="C307" s="17"/>
      <c r="D307" s="17"/>
      <c r="E307" s="17"/>
      <c r="F307" s="17"/>
      <c r="G307" s="17"/>
      <c r="H307" s="17"/>
      <c r="I307" s="14"/>
      <c r="J307" s="14"/>
      <c r="K307" s="14"/>
      <c r="L307" s="14"/>
      <c r="M307" s="34" t="str">
        <f aca="false">IF(COUNT(C307:H307)=0,"",IFERROR(MAX(0,ROUND(IF(Settings!$B$33,IF(H307="",SUM(C307:G307),H307)-SUMPRODUCT(($C$4:$G$4="Y")*C307:G307),SUMPRODUCT(($C$4:$G$4="Y")*C307:G307)),0)),"Check inputs"))</f>
        <v/>
      </c>
      <c r="N307" s="35" t="str">
        <f aca="false">IF(AND(N($M307)&gt;0,UPPER($K307)&lt;&gt;"N"),IF(Settings!$B$28,MAX(0,MIN(Settings!$B$16,IF(I307="",Settings!$B$16,I307)))/Settings!$B$15,1),"")</f>
        <v/>
      </c>
      <c r="O307" s="35" t="str">
        <f aca="false">IF(AND(N($M307)&gt;0,UPPER($K307)&lt;&gt;"N"),IF(Settings!$B$28,MAX(0,MIN(Settings!$B$17,IF(J307="",Settings!$B$17,J307)))/Settings!$B$15,0),"")</f>
        <v/>
      </c>
      <c r="P307" s="34" t="str">
        <f aca="false">IF(N307="","",ROUND(IF(Settings!$B$27,MIN($M307,Settings!$B$29),$M307)*N307,0))</f>
        <v/>
      </c>
      <c r="Q307" s="34" t="str">
        <f aca="false">IF(N307="","",ROUND(IF(Settings!$B$27,MIN($M307,Settings!$B$30),$M307)*O307,0))</f>
        <v/>
      </c>
      <c r="R307" s="34" t="str">
        <f aca="false">IF(N307="","",P307+Q307)</f>
        <v/>
      </c>
      <c r="S307" s="34" t="str">
        <f aca="false">IF(N307="","",ROUND(MIN($M307,Settings!$B$29)*N307,0)+ROUND(MIN($M307,Settings!$B$30)*O307,0))</f>
        <v/>
      </c>
      <c r="T307" s="34" t="str">
        <f aca="false">IF(N307="","",IF(UPPER(L307)="N",0,S307))</f>
        <v/>
      </c>
      <c r="U307" s="25" t="str">
        <f aca="false">IF(N307="","",ROUND(R307*Settings!$B$18,0))</f>
        <v/>
      </c>
      <c r="V307" s="25" t="str">
        <f aca="false">IF(N307="","",ROUND(R307*Settings!$B$19,0)-X307)</f>
        <v/>
      </c>
      <c r="W307" s="25" t="str">
        <f aca="false">IF(N307="","",IF(Settings!$B$31,ROUND(R307*Settings!$B$22,0),0))</f>
        <v/>
      </c>
      <c r="X307" s="25" t="str">
        <f aca="false">IF(N307="","",MIN(ROUND(T307*Settings!$B$20,0),ROUND(R307*Settings!$B$19,0)))</f>
        <v/>
      </c>
      <c r="Y307" s="25" t="str">
        <f aca="false">IF(N307="","",IF(Settings!$B$31,ROUND(S307*Settings!$B$21,0),0))</f>
        <v/>
      </c>
      <c r="Z307" s="25" t="str">
        <f aca="false">IF(N307="","",U307+V307+X307+W307+Y307)</f>
        <v/>
      </c>
      <c r="AA307" s="7" t="str">
        <f aca="false">IF(COUNT(C307:H307)=0,"",TRIM(IF(UPPER(K307)="N","Not a PF member, skipped. ","")&amp;IF(AND(UPPER(K307)&lt;&gt;"N",N(M307)&lt;=0),"PF wage is zero, skipped. ","")&amp;IF(AND(UPPER(K307)&lt;&gt;"N",N(M307)&gt;0,UPPER(L307)="N"),"Pension not applicable, whole 12% goes to EPF. ","")&amp;IF(AND(ISNUMBER(H307),ABS(SUM(C307:G307)-N(H307))&gt;1),"Heads in the file add up to "&amp;SUM(C307:G307)&amp;", Gross is "&amp;H307&amp;" (a pay head may be missing). ","")&amp;IF(AND(Settings!$B$32,N(H307)&gt;0,ISNUMBER(M307),N(M307)&lt;H307*0.5-0.5),"50% check: PF wage is "&amp;TEXT(M307/H307,"0%")&amp;" of gross. ","")&amp;IF(AND(N(M307)&gt;0,UPPER(K307)&lt;&gt;"N",N(N307)+N(O307)=0),"No days to count. ","")))</f>
        <v/>
      </c>
    </row>
  </sheetData>
  <sheetProtection sheet="true" formatCells="false" formatColumns="false" formatRows="false"/>
  <mergeCells count="1">
    <mergeCell ref="A4:B4"/>
  </mergeCells>
  <dataValidations count="2">
    <dataValidation allowBlank="false" errorStyle="stop" operator="between" showDropDown="false" showErrorMessage="false" showInputMessage="false" sqref="C4:G4" type="list">
      <formula1>"Y,N"</formula1>
      <formula2>0</formula2>
    </dataValidation>
    <dataValidation allowBlank="true" errorStyle="stop" operator="between" showDropDown="false" showErrorMessage="false" showInputMessage="false" sqref="K8:L307"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0"/>
    <col collapsed="false" customWidth="true" hidden="false" outlineLevel="0" max="2" min="2" style="0" width="120"/>
  </cols>
  <sheetData>
    <row r="1" customFormat="false" ht="19.7" hidden="false" customHeight="false" outlineLevel="0" collapsed="false">
      <c r="A1" s="1" t="s">
        <v>188</v>
      </c>
    </row>
    <row r="2" customFormat="false" ht="15" hidden="false" customHeight="false" outlineLevel="0" collapsed="false">
      <c r="A2" s="2" t="s">
        <v>189</v>
      </c>
    </row>
    <row r="4" customFormat="false" ht="19.5" hidden="false" customHeight="true" outlineLevel="0" collapsed="false">
      <c r="A4" s="3" t="s">
        <v>190</v>
      </c>
      <c r="B4" s="3"/>
    </row>
    <row r="5" customFormat="false" ht="60" hidden="false" customHeight="true" outlineLevel="0" collapsed="false">
      <c r="A5" s="4" t="s">
        <v>191</v>
      </c>
      <c r="B5" s="5" t="s">
        <v>192</v>
      </c>
    </row>
    <row r="6" customFormat="false" ht="30" hidden="false" customHeight="true" outlineLevel="0" collapsed="false">
      <c r="A6" s="4" t="s">
        <v>193</v>
      </c>
      <c r="B6" s="5" t="s">
        <v>194</v>
      </c>
    </row>
    <row r="7" customFormat="false" ht="45" hidden="false" customHeight="true" outlineLevel="0" collapsed="false">
      <c r="A7" s="4" t="s">
        <v>195</v>
      </c>
      <c r="B7" s="5" t="s">
        <v>196</v>
      </c>
    </row>
    <row r="8" customFormat="false" ht="19.5" hidden="false" customHeight="true" outlineLevel="0" collapsed="false">
      <c r="A8" s="3" t="s">
        <v>197</v>
      </c>
      <c r="B8" s="3"/>
    </row>
    <row r="9" customFormat="false" ht="30" hidden="false" customHeight="true" outlineLevel="0" collapsed="false">
      <c r="A9" s="4" t="s">
        <v>198</v>
      </c>
      <c r="B9" s="5" t="s">
        <v>199</v>
      </c>
    </row>
    <row r="10" customFormat="false" ht="30" hidden="false" customHeight="true" outlineLevel="0" collapsed="false">
      <c r="A10" s="4" t="s">
        <v>149</v>
      </c>
      <c r="B10" s="5" t="s">
        <v>200</v>
      </c>
    </row>
    <row r="11" customFormat="false" ht="45" hidden="false" customHeight="true" outlineLevel="0" collapsed="false">
      <c r="A11" s="4" t="s">
        <v>46</v>
      </c>
      <c r="B11" s="5" t="s">
        <v>201</v>
      </c>
    </row>
    <row r="12" customFormat="false" ht="30" hidden="false" customHeight="true" outlineLevel="0" collapsed="false">
      <c r="A12" s="4" t="s">
        <v>150</v>
      </c>
      <c r="B12" s="5" t="s">
        <v>202</v>
      </c>
    </row>
    <row r="13" customFormat="false" ht="30" hidden="false" customHeight="true" outlineLevel="0" collapsed="false">
      <c r="A13" s="4" t="s">
        <v>203</v>
      </c>
      <c r="B13" s="5" t="s">
        <v>204</v>
      </c>
    </row>
    <row r="14" customFormat="false" ht="19.5" hidden="false" customHeight="true" outlineLevel="0" collapsed="false">
      <c r="A14" s="3" t="s">
        <v>205</v>
      </c>
      <c r="B14" s="3"/>
    </row>
    <row r="15" customFormat="false" ht="45" hidden="false" customHeight="true" outlineLevel="0" collapsed="false">
      <c r="A15" s="4" t="s">
        <v>206</v>
      </c>
      <c r="B15" s="5" t="s">
        <v>207</v>
      </c>
    </row>
    <row r="16" customFormat="false" ht="45" hidden="false" customHeight="true" outlineLevel="0" collapsed="false">
      <c r="A16" s="4" t="s">
        <v>208</v>
      </c>
      <c r="B16" s="5" t="s">
        <v>209</v>
      </c>
    </row>
    <row r="17" customFormat="false" ht="30" hidden="false" customHeight="true" outlineLevel="0" collapsed="false">
      <c r="A17" s="4" t="s">
        <v>210</v>
      </c>
      <c r="B17" s="5" t="s">
        <v>211</v>
      </c>
    </row>
    <row r="18" customFormat="false" ht="30" hidden="false" customHeight="true" outlineLevel="0" collapsed="false">
      <c r="A18" s="4" t="s">
        <v>212</v>
      </c>
      <c r="B18" s="5" t="s">
        <v>213</v>
      </c>
    </row>
    <row r="19" customFormat="false" ht="30" hidden="false" customHeight="true" outlineLevel="0" collapsed="false">
      <c r="A19" s="4" t="s">
        <v>214</v>
      </c>
      <c r="B19" s="5" t="s">
        <v>215</v>
      </c>
    </row>
    <row r="20" customFormat="false" ht="19.5" hidden="false" customHeight="true" outlineLevel="0" collapsed="false">
      <c r="A20" s="3" t="s">
        <v>216</v>
      </c>
      <c r="B20" s="3"/>
    </row>
    <row r="21" customFormat="false" ht="30" hidden="false" customHeight="true" outlineLevel="0" collapsed="false">
      <c r="A21" s="4" t="s">
        <v>217</v>
      </c>
      <c r="B21" s="5" t="s">
        <v>218</v>
      </c>
    </row>
    <row r="22" customFormat="false" ht="30" hidden="false" customHeight="true" outlineLevel="0" collapsed="false">
      <c r="A22" s="4" t="s">
        <v>219</v>
      </c>
      <c r="B22" s="5" t="s">
        <v>220</v>
      </c>
    </row>
    <row r="23" customFormat="false" ht="30" hidden="false" customHeight="true" outlineLevel="0" collapsed="false">
      <c r="A23" s="4" t="s">
        <v>221</v>
      </c>
      <c r="B23" s="5" t="s">
        <v>222</v>
      </c>
    </row>
    <row r="24" customFormat="false" ht="30" hidden="false" customHeight="true" outlineLevel="0" collapsed="false">
      <c r="A24" s="4" t="s">
        <v>223</v>
      </c>
      <c r="B24" s="5" t="s">
        <v>224</v>
      </c>
    </row>
    <row r="25" customFormat="false" ht="30" hidden="false" customHeight="true" outlineLevel="0" collapsed="false">
      <c r="A25" s="4" t="s">
        <v>225</v>
      </c>
      <c r="B25" s="5" t="s">
        <v>226</v>
      </c>
    </row>
  </sheetData>
  <sheetProtection sheet="true" formatCells="false" formatColumns="false" formatRows="false"/>
  <mergeCells count="4">
    <mergeCell ref="A4:B4"/>
    <mergeCell ref="A8:B8"/>
    <mergeCell ref="A14:B14"/>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2026-09-21T10:58:40Z</dcterms:created>
  <dc:creator>openpyxl</dc:creator>
  <dc:description/>
  <dc:language>en-IN</dc:language>
  <cp:lastModifiedBy/>
  <dcterms:modified xsi:type="dcterms:W3CDTF">2026-09-21T10:58:40Z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